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vidhochbaum/ae-cd-needs-statements-generator/public/csvdata/"/>
    </mc:Choice>
  </mc:AlternateContent>
  <xr:revisionPtr revIDLastSave="0" documentId="13_ncr:1_{4928F9BB-6116-764B-82AE-D76C31CD5A81}" xr6:coauthVersionLast="47" xr6:coauthVersionMax="47" xr10:uidLastSave="{00000000-0000-0000-0000-000000000000}"/>
  <bookViews>
    <workbookView xWindow="56460" yWindow="-11080" windowWidth="26240" windowHeight="32260" activeTab="1" xr2:uid="{B1E9EA43-BE9B-DF4F-AE25-49A3B01FF3EC}"/>
  </bookViews>
  <sheets>
    <sheet name="Statements" sheetId="1" r:id="rId1"/>
    <sheet name="brs" sheetId="2" r:id="rId2"/>
    <sheet name="Agency Acronyms" sheetId="3" r:id="rId3"/>
    <sheet name="boro&amp;board" sheetId="4" r:id="rId4"/>
  </sheets>
  <definedNames>
    <definedName name="_xlnm._FilterDatabase" localSheetId="1" hidden="1">brs!$A$1:$B$73</definedName>
    <definedName name="_xlnm._FilterDatabase" localSheetId="0" hidden="1">Statements!$A$1:$E$148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2" i="4"/>
  <c r="D3" i="4"/>
  <c r="J3" i="4" s="1"/>
  <c r="D4" i="4"/>
  <c r="J4" i="4" s="1"/>
  <c r="D5" i="4"/>
  <c r="J5" i="4" s="1"/>
  <c r="D6" i="4"/>
  <c r="J6" i="4" s="1"/>
  <c r="D7" i="4"/>
  <c r="J7" i="4" s="1"/>
  <c r="D8" i="4"/>
  <c r="J8" i="4" s="1"/>
  <c r="D9" i="4"/>
  <c r="J9" i="4" s="1"/>
  <c r="D10" i="4"/>
  <c r="J10" i="4" s="1"/>
  <c r="D11" i="4"/>
  <c r="J11" i="4" s="1"/>
  <c r="D12" i="4"/>
  <c r="J12" i="4" s="1"/>
  <c r="D13" i="4"/>
  <c r="J13" i="4" s="1"/>
  <c r="D14" i="4"/>
  <c r="J14" i="4" s="1"/>
  <c r="D15" i="4"/>
  <c r="J15" i="4" s="1"/>
  <c r="D16" i="4"/>
  <c r="J16" i="4" s="1"/>
  <c r="D17" i="4"/>
  <c r="J17" i="4" s="1"/>
  <c r="D18" i="4"/>
  <c r="J18" i="4" s="1"/>
  <c r="D19" i="4"/>
  <c r="J19" i="4" s="1"/>
  <c r="D20" i="4"/>
  <c r="J20" i="4" s="1"/>
  <c r="D21" i="4"/>
  <c r="J21" i="4" s="1"/>
  <c r="D22" i="4"/>
  <c r="J22" i="4" s="1"/>
  <c r="D23" i="4"/>
  <c r="J23" i="4" s="1"/>
  <c r="D24" i="4"/>
  <c r="J24" i="4" s="1"/>
  <c r="D25" i="4"/>
  <c r="J25" i="4" s="1"/>
  <c r="D26" i="4"/>
  <c r="J26" i="4" s="1"/>
  <c r="D27" i="4"/>
  <c r="J27" i="4" s="1"/>
  <c r="D28" i="4"/>
  <c r="J28" i="4" s="1"/>
  <c r="D29" i="4"/>
  <c r="J29" i="4" s="1"/>
  <c r="D30" i="4"/>
  <c r="J30" i="4" s="1"/>
  <c r="D31" i="4"/>
  <c r="J31" i="4" s="1"/>
  <c r="D32" i="4"/>
  <c r="J32" i="4" s="1"/>
  <c r="D33" i="4"/>
  <c r="J33" i="4" s="1"/>
  <c r="D34" i="4"/>
  <c r="J34" i="4" s="1"/>
  <c r="D35" i="4"/>
  <c r="J35" i="4" s="1"/>
  <c r="D36" i="4"/>
  <c r="J36" i="4" s="1"/>
  <c r="D37" i="4"/>
  <c r="J37" i="4" s="1"/>
  <c r="D38" i="4"/>
  <c r="J38" i="4" s="1"/>
  <c r="D39" i="4"/>
  <c r="J39" i="4" s="1"/>
  <c r="D40" i="4"/>
  <c r="J40" i="4" s="1"/>
  <c r="D41" i="4"/>
  <c r="J41" i="4" s="1"/>
  <c r="D42" i="4"/>
  <c r="J42" i="4" s="1"/>
  <c r="D43" i="4"/>
  <c r="J43" i="4" s="1"/>
  <c r="D44" i="4"/>
  <c r="J44" i="4" s="1"/>
  <c r="D45" i="4"/>
  <c r="J45" i="4" s="1"/>
  <c r="D46" i="4"/>
  <c r="J46" i="4" s="1"/>
  <c r="D47" i="4"/>
  <c r="J47" i="4" s="1"/>
  <c r="D48" i="4"/>
  <c r="J48" i="4" s="1"/>
  <c r="D49" i="4"/>
  <c r="J49" i="4" s="1"/>
  <c r="D50" i="4"/>
  <c r="J50" i="4" s="1"/>
  <c r="D51" i="4"/>
  <c r="J51" i="4" s="1"/>
  <c r="D52" i="4"/>
  <c r="J52" i="4" s="1"/>
  <c r="D53" i="4"/>
  <c r="J53" i="4" s="1"/>
  <c r="D54" i="4"/>
  <c r="J54" i="4" s="1"/>
  <c r="D55" i="4"/>
  <c r="J55" i="4" s="1"/>
  <c r="D56" i="4"/>
  <c r="J56" i="4" s="1"/>
  <c r="D57" i="4"/>
  <c r="J57" i="4" s="1"/>
  <c r="D58" i="4"/>
  <c r="J58" i="4" s="1"/>
  <c r="D59" i="4"/>
  <c r="J59" i="4" s="1"/>
  <c r="D60" i="4"/>
  <c r="J60" i="4" s="1"/>
  <c r="D61" i="4"/>
  <c r="J61" i="4" s="1"/>
  <c r="D2" i="4"/>
  <c r="J2" i="4" s="1"/>
  <c r="E53" i="1"/>
  <c r="E60" i="1"/>
  <c r="E71" i="1"/>
  <c r="E80" i="1"/>
  <c r="E89" i="1"/>
  <c r="E98" i="1"/>
  <c r="E108" i="1"/>
  <c r="E117" i="1"/>
  <c r="E47" i="1"/>
  <c r="E50" i="1"/>
  <c r="E5" i="1"/>
  <c r="E32" i="1"/>
  <c r="E33" i="1"/>
  <c r="E34" i="1"/>
  <c r="E35" i="1"/>
  <c r="E36" i="1"/>
  <c r="E37" i="1"/>
  <c r="E41" i="1"/>
  <c r="E46" i="1"/>
  <c r="E48" i="1"/>
  <c r="E49" i="1"/>
  <c r="E51" i="1"/>
  <c r="E52" i="1"/>
  <c r="E54" i="1"/>
  <c r="E59" i="1"/>
  <c r="E61" i="1"/>
  <c r="E70" i="1"/>
  <c r="E72" i="1"/>
  <c r="E79" i="1"/>
  <c r="E81" i="1"/>
  <c r="E88" i="1"/>
  <c r="E90" i="1"/>
  <c r="E97" i="1"/>
  <c r="E99" i="1"/>
  <c r="E107" i="1"/>
  <c r="E109" i="1"/>
  <c r="E116" i="1"/>
  <c r="E118" i="1"/>
  <c r="E127" i="1"/>
  <c r="E132" i="1"/>
  <c r="E62" i="1"/>
  <c r="E63" i="1"/>
  <c r="E64" i="1"/>
  <c r="E65" i="1"/>
  <c r="E73" i="1"/>
  <c r="E74" i="1"/>
  <c r="E82" i="1"/>
  <c r="E83" i="1"/>
  <c r="E91" i="1"/>
  <c r="E92" i="1"/>
  <c r="E100" i="1"/>
  <c r="E101" i="1"/>
  <c r="E102" i="1"/>
  <c r="E110" i="1"/>
  <c r="E111" i="1"/>
  <c r="E119" i="1"/>
  <c r="E120" i="1"/>
  <c r="E121" i="1"/>
  <c r="E122" i="1"/>
  <c r="E29" i="1"/>
  <c r="E137" i="1"/>
</calcChain>
</file>

<file path=xl/sharedStrings.xml><?xml version="1.0" encoding="utf-8"?>
<sst xmlns="http://schemas.openxmlformats.org/spreadsheetml/2006/main" count="588" uniqueCount="397">
  <si>
    <t>Response ID</t>
  </si>
  <si>
    <t>Time Started</t>
  </si>
  <si>
    <t>Date Submitted</t>
  </si>
  <si>
    <t>Status</t>
  </si>
  <si>
    <t>Contact ID</t>
  </si>
  <si>
    <t>Legacy Comments</t>
  </si>
  <si>
    <t>Comments</t>
  </si>
  <si>
    <t>Language</t>
  </si>
  <si>
    <t>Referer</t>
  </si>
  <si>
    <t>SessionID</t>
  </si>
  <si>
    <t>User Agent</t>
  </si>
  <si>
    <t>Tags</t>
  </si>
  <si>
    <t>IP Address</t>
  </si>
  <si>
    <t>Longitude</t>
  </si>
  <si>
    <t>Latitude</t>
  </si>
  <si>
    <t>Country</t>
  </si>
  <si>
    <t>City</t>
  </si>
  <si>
    <t>State/Region</t>
  </si>
  <si>
    <t>Postal</t>
  </si>
  <si>
    <t>communityBoardID</t>
  </si>
  <si>
    <t>Community Board Chair</t>
  </si>
  <si>
    <t>District Manager</t>
  </si>
  <si>
    <t>Community Board Office Address</t>
  </si>
  <si>
    <t>Community Board Office Phone Number</t>
  </si>
  <si>
    <t>Community Board Office Email Address</t>
  </si>
  <si>
    <t>Community Board Website URL</t>
  </si>
  <si>
    <t>Option 1:</t>
  </si>
  <si>
    <t>Option 2:</t>
  </si>
  <si>
    <t>navigation.js</t>
  </si>
  <si>
    <t>1:Cover Page Upload</t>
  </si>
  <si>
    <t>1:Cover Letter Upload</t>
  </si>
  <si>
    <t>Done!:Progress Tracking Check this box when you've completed this page.</t>
  </si>
  <si>
    <t>1:Please use the this File Upload button if you would like to attach any additional files to this section of the report.¬†</t>
  </si>
  <si>
    <t>3:Please use the this File Upload button if you would like to attach any additional files to this section of the report.¬†</t>
  </si>
  <si>
    <t>top3Issues1</t>
  </si>
  <si>
    <t>Please select your first Top 3 Pressing Issue</t>
  </si>
  <si>
    <t>top3Issues1Other</t>
  </si>
  <si>
    <t>Other - Write In (Required):Please select your first Top 3 Pressing Issue</t>
  </si>
  <si>
    <t>top3Issues1Explanation</t>
  </si>
  <si>
    <t>Please explain your first Top 3 Pressing Issue selection as it relates to your district</t>
  </si>
  <si>
    <t>top3Issues2</t>
  </si>
  <si>
    <t>Please select your second Top 3 Pressing Issue</t>
  </si>
  <si>
    <t>top3Issues2Other</t>
  </si>
  <si>
    <t>Other - Write In (Required):Please select your second Top 3 Pressing Issue</t>
  </si>
  <si>
    <t>top3Issues2Explanation</t>
  </si>
  <si>
    <t>Please explain your second Top 3 Pressing Issue selection as it relates to your district</t>
  </si>
  <si>
    <t>top3Issues3</t>
  </si>
  <si>
    <t>Please select your third Top 3 Pressing Issue</t>
  </si>
  <si>
    <t>top3Issues3Other</t>
  </si>
  <si>
    <t>Other - Write In (Required):Please select your third Top 3 Pressing Issue</t>
  </si>
  <si>
    <t>top3Issues3Explanation</t>
  </si>
  <si>
    <t>Please explain your third Top 3 Pressing Issue selection as it relates to your district</t>
  </si>
  <si>
    <t>Most Important Issue: Healthcare and Human Services</t>
  </si>
  <si>
    <t>Other - Write In (Required):Most Important Issue: Healthcare and Human Services</t>
  </si>
  <si>
    <t>Please explain your selection for the Most Important Issue in Healthcare and Human Services</t>
  </si>
  <si>
    <t>Needs for Health Care and Facilities</t>
  </si>
  <si>
    <t>Needs for Older New Yorkers</t>
  </si>
  <si>
    <t>Needs for Homeless</t>
  </si>
  <si>
    <t>Needs for Low Income New Yorkers</t>
  </si>
  <si>
    <t>Most Important Issue: Youth, Education, and Child Welfare</t>
  </si>
  <si>
    <t>Other - Write In (Required):Most Important Issue: Youth, Education, and Child Welfare</t>
  </si>
  <si>
    <t>Please explain your selection for Most Important Issue in Youth, Education, and Child Welfare issues:</t>
  </si>
  <si>
    <t>Needs for Youth Education</t>
  </si>
  <si>
    <t>Needs for Youth and Child Welfare</t>
  </si>
  <si>
    <t>Most Important Issue: Public Safety and Emergency Services</t>
  </si>
  <si>
    <t>Other - Write In (Required):Most Important Issue: Public Safety and Emergency Services</t>
  </si>
  <si>
    <t>Please explain your selection for Most Important Public Safety and Emergency Services Issue:</t>
  </si>
  <si>
    <t>Needs for Public Safety</t>
  </si>
  <si>
    <t>Needs for Emergency Services</t>
  </si>
  <si>
    <t>Most Important Issue: Core Infrastructure, City Services, and Resiliency</t>
  </si>
  <si>
    <t>Other - Write In (Required):Most Important Issue: Core Infrastructure, City Services, and Resiliency</t>
  </si>
  <si>
    <t>Please explain your selection for Most Important Core Infrastructure, City Services, and Resiliency Issue:</t>
  </si>
  <si>
    <t>Needs for Water, Sewers, and Environmental Protection</t>
  </si>
  <si>
    <t>Needs for Sanitation Services</t>
  </si>
  <si>
    <t>Most Important Issue: Housing, Economic Development, and Land Use</t>
  </si>
  <si>
    <t>Other - Write In (Required):Most Important Issue: Housing, Economic Development, and Land Use</t>
  </si>
  <si>
    <t>Please explain your selection for Most Important Housing, Economic Development, and Housing Issue:¬†</t>
  </si>
  <si>
    <t>Needs for Land Use</t>
  </si>
  <si>
    <t>Needs for Housing</t>
  </si>
  <si>
    <t>Needs for Economic Development</t>
  </si>
  <si>
    <t>Most Important Issue: Transportation and Mobility</t>
  </si>
  <si>
    <t>Other - Write In (Required):Most Important Issue: Transportation and Mobility</t>
  </si>
  <si>
    <t>Please explain your selection for Most Important Transportation and Mobility Issue:</t>
  </si>
  <si>
    <t>Needs for Traffic and Transportation Infrastructure</t>
  </si>
  <si>
    <t>Needs for Transit Services</t>
  </si>
  <si>
    <t>Most Important Issue: Parks, Cultural, and other Community Facilities</t>
  </si>
  <si>
    <t>Other - Write In (Required):Most Important Issue: Parks, Cultural, and other Community Facilities</t>
  </si>
  <si>
    <t>Please explain your selection for Most Important Parks, Cultural, and Other Community Facilities Issue:¬†</t>
  </si>
  <si>
    <t>Needs for Parks</t>
  </si>
  <si>
    <t>Needs for Cultural Services</t>
  </si>
  <si>
    <t>Needs for Library Services</t>
  </si>
  <si>
    <t>Needs for Community Boards</t>
  </si>
  <si>
    <t>Optional - Provide a narrative for any needs not detailed in the preceding Policy Areas.</t>
  </si>
  <si>
    <t>Please use this space to provide any additional comments related to your district's needs and budget requests. Are there, for example, any programs and/or services that you feel could be reduced to fully or partially offset the budget requests, or because they are no longer relevant?¬†</t>
  </si>
  <si>
    <t>cb</t>
  </si>
  <si>
    <t>matchedCapitalRequests</t>
  </si>
  <si>
    <t>Capital JavaScript</t>
  </si>
  <si>
    <t>matchedExpenseRequests</t>
  </si>
  <si>
    <t>Expense JavaScript</t>
  </si>
  <si>
    <t>matchedContinuedSupportRequests</t>
  </si>
  <si>
    <t>Continued Support JavaScript</t>
  </si>
  <si>
    <t>responseId</t>
  </si>
  <si>
    <t>communityBoardChair</t>
  </si>
  <si>
    <t>districtManager</t>
  </si>
  <si>
    <t>communityBoardOfficeAddress</t>
  </si>
  <si>
    <t>communityBoardOfficePhoneNumber</t>
  </si>
  <si>
    <t>communityBoardOfficeEmailAddress</t>
  </si>
  <si>
    <t>communityBoardWebsiteUrl</t>
  </si>
  <si>
    <t>needsForHealthCareAndFacilities</t>
  </si>
  <si>
    <t>needsForOlderNewYorkers</t>
  </si>
  <si>
    <t>needsForHomeless</t>
  </si>
  <si>
    <t>needsForLowIncomeNewYorkers</t>
  </si>
  <si>
    <t>needsForYouthEducation</t>
  </si>
  <si>
    <t>needsForYouthAndChildWelfare</t>
  </si>
  <si>
    <t>needsForPublicSafety</t>
  </si>
  <si>
    <t>needsForEmergencyServices</t>
  </si>
  <si>
    <t>needsForSanitationServices</t>
  </si>
  <si>
    <t>needsForLandUse</t>
  </si>
  <si>
    <t>needsForHousing</t>
  </si>
  <si>
    <t>needsForEconomicDevelopment</t>
  </si>
  <si>
    <t>needsForTrafficAndTransportationInfrastructure</t>
  </si>
  <si>
    <t>needsForTransitServices</t>
  </si>
  <si>
    <t>needsForParks</t>
  </si>
  <si>
    <t>needsForCulturalServices</t>
  </si>
  <si>
    <t>needsForLibraryServices</t>
  </si>
  <si>
    <t>needsForCommunityBoards</t>
  </si>
  <si>
    <t>mostImportantIssueHealthcareAndHumanServices</t>
  </si>
  <si>
    <t>mostImportantIssuePublicSafetyAndEmergencyServices</t>
  </si>
  <si>
    <t>mostImportantIssueTransportationAndMobility</t>
  </si>
  <si>
    <t>anyAdditionalCommentsRelatedToYourDistrictsNeedsAndBudgetRequests</t>
  </si>
  <si>
    <t>pleaseExplainYourSelectionForMostImportantPublicSafetyAndEmergencyServicesIssue</t>
  </si>
  <si>
    <t>pleaseExplainYourSelectionForMostImportantTransportationAndMobilityIssue</t>
  </si>
  <si>
    <t>mostImportantIssueYouthEducationAndChildWelfare</t>
  </si>
  <si>
    <t>pleaseExplainYourSelectionForMostImportantIssueInYouthEducationAndChildWelfareIssues</t>
  </si>
  <si>
    <t>mostImportantIssueCoreInfrastructureCityServicesAndResiliency</t>
  </si>
  <si>
    <t>pleaseExplainYourSelectionForMostImportantCoreInfrastructureCityServicesAndResiliencyIssue</t>
  </si>
  <si>
    <t>needsForWaterSewersAndEnvironmentalProtection</t>
  </si>
  <si>
    <t>mostImportantIssueHousingEconomicDevelopmentAndLandUse</t>
  </si>
  <si>
    <t>mostImportantIssueParksCulturalAndOtherCommunityFacilities</t>
  </si>
  <si>
    <t>pleaseExplainYourSelectionForMostImportantParksCulturalAndOtherCommunityFacilitiesIssue</t>
  </si>
  <si>
    <t>pleaseExplainYourSelectionForMostImportantHousingEconomicDevelopmentAndHousingIssue</t>
  </si>
  <si>
    <t>mostImportantIssueHealthcareAndHumanServicesOther</t>
  </si>
  <si>
    <t>mostImportantIssueYouthEducationAndChildWelfareOther</t>
  </si>
  <si>
    <t>mostImportantIssuePublicSafetyAndEmergencyServicesOther</t>
  </si>
  <si>
    <t>mostImportantIssueCoreInfrastructureCityServicesAndResiliencyOther</t>
  </si>
  <si>
    <t>mostImportantIssueHousingEconomicDevelopmentAndLandUseOther</t>
  </si>
  <si>
    <t>mostImportantIssueTransportationAndMobilityOther</t>
  </si>
  <si>
    <t>mostImportantIssueParksCulturalAndOtherCommunityFacilitiesOther</t>
  </si>
  <si>
    <t>boro</t>
  </si>
  <si>
    <t>boardNumber</t>
  </si>
  <si>
    <t>pleaseExplainYourSelectionForMostImportantIssueInHealthcareAndHumanServices</t>
  </si>
  <si>
    <t>anyNeedsNotDetailedInThePrecedingPolicyArea</t>
  </si>
  <si>
    <t>isDeleted</t>
  </si>
  <si>
    <t>policyArea</t>
  </si>
  <si>
    <t>Policy Area</t>
  </si>
  <si>
    <t>needGroup</t>
  </si>
  <si>
    <t>Need Group</t>
  </si>
  <si>
    <t>agency</t>
  </si>
  <si>
    <t>Agency</t>
  </si>
  <si>
    <t>type</t>
  </si>
  <si>
    <t>Type</t>
  </si>
  <si>
    <t>need</t>
  </si>
  <si>
    <t>Need</t>
  </si>
  <si>
    <t>request</t>
  </si>
  <si>
    <t>Request</t>
  </si>
  <si>
    <t>Dropdown Combinations</t>
  </si>
  <si>
    <t>Dropdown Logic</t>
  </si>
  <si>
    <t>budgetRequestTitle</t>
  </si>
  <si>
    <t>Budget Request Title Please give your budget request a short and recognizable title that will allow it to be readily identified (ex. PS 41 Amenity Upgrade)</t>
  </si>
  <si>
    <t>continuedSupport</t>
  </si>
  <si>
    <t>Continued Support:Please check the box below if you'd like to mark this request for Continued Support</t>
  </si>
  <si>
    <t>Budget Request - Continued Support Checkbox Visibility</t>
  </si>
  <si>
    <t>explanation</t>
  </si>
  <si>
    <t>Explanation</t>
  </si>
  <si>
    <t>siteSpecific</t>
  </si>
  <si>
    <t>Is this request specific to a particular site, location, or facility?</t>
  </si>
  <si>
    <t>address-search.js</t>
  </si>
  <si>
    <t>siteOnStreet</t>
  </si>
  <si>
    <t>On Street (Enter Street Name):Complete the following if your request is for a¬†street segment</t>
  </si>
  <si>
    <t>siteStreetSegmentCrossStreet1</t>
  </si>
  <si>
    <t>Cross Street 1:Complete the following if your request is for a¬†street segment</t>
  </si>
  <si>
    <t>siteStreetSegmentCrossStreet2</t>
  </si>
  <si>
    <t>Cross Street 2:Complete the following if your request is for a¬†street segment</t>
  </si>
  <si>
    <t>siteStreetSegementSide</t>
  </si>
  <si>
    <t>Side of Street (if only one-side):Complete the following if your request is for a¬†street segment</t>
  </si>
  <si>
    <t>siteIntersectionStreetName</t>
  </si>
  <si>
    <t>Street Name:Complete the following if your request is for an¬†intersection</t>
  </si>
  <si>
    <t>siteIntersectionStreet1</t>
  </si>
  <si>
    <t>Intersection - Street 1:Complete the following if your request is for an¬†intersection</t>
  </si>
  <si>
    <t>siteIntersectionStreet2</t>
  </si>
  <si>
    <t>Intersection - Street 2:Complete the following if your request is for an¬†intersection</t>
  </si>
  <si>
    <t>siteIntersectionCompassDirection</t>
  </si>
  <si>
    <t>Compass Direction (if streets intersect twice):Complete the following if your request is for an¬†intersection</t>
  </si>
  <si>
    <t>1:Would you like to upload any supporting documentation? (Up to 2 files, max. file size: 500KB)</t>
  </si>
  <si>
    <t>2:Would you like to upload any supporting documentation? (Up to 2 files, max. file size: 500KB)</t>
  </si>
  <si>
    <t>3:Would you like to upload any supporting documentation? (Up to 2 files, max. file size: 500KB)</t>
  </si>
  <si>
    <t>4:Would you like to upload any supporting documentation? (Up to 2 files, max. file size: 500KB)</t>
  </si>
  <si>
    <t>5:Would you like to upload any supporting documentation? (Up to 2 files, max. file size: 500KB)</t>
  </si>
  <si>
    <t>6:Would you like to upload any supporting documentation? (Up to 2 files, max. file size: 500KB)</t>
  </si>
  <si>
    <t>7:Would you like to upload any supporting documentation? (Up to 2 files, max. file size: 500KB)</t>
  </si>
  <si>
    <t>8:Would you like to upload any supporting documentation? (Up to 2 files, max. file size: 500KB)</t>
  </si>
  <si>
    <t>9:Would you like to upload any supporting documentation? (Up to 2 files, max. file size: 500KB)</t>
  </si>
  <si>
    <t>10:Would you like to upload any supporting documentation? (Up to 2 files, max. file size: 500KB)</t>
  </si>
  <si>
    <t>previousFYAgencyResponse</t>
  </si>
  <si>
    <t>previousFYAgencyCategoryResponse</t>
  </si>
  <si>
    <t>currentFYAgencyResponse</t>
  </si>
  <si>
    <t>currentFYAgencyCategoryResponse</t>
  </si>
  <si>
    <t>previousFYRanking</t>
  </si>
  <si>
    <t>currentFYRanking</t>
  </si>
  <si>
    <t>agencyAcronym</t>
  </si>
  <si>
    <t>Access Log</t>
  </si>
  <si>
    <t>Address:Request Location (complete all that apply) For addresses, please select an option from the Address Search drop down where possible.</t>
  </si>
  <si>
    <t>Site or Facility Name:Request Location (complete all that apply) For addresses, please select an option from the Address Search drop down where possible.</t>
  </si>
  <si>
    <t>Facility Name:Request Location (complete all that apply) For addresses, please select an option from the Address Search drop down where possible.</t>
  </si>
  <si>
    <t>Cross-Street 1 (for Street Segment):Request Location (complete all that apply) For addresses, please select an option from the Address Search drop down where possible.</t>
  </si>
  <si>
    <t>Cross-Street 2 (for Street Segment):Request Location (complete all that apply) For addresses, please select an option from the Address Search drop down where possible.</t>
  </si>
  <si>
    <t>Supporter 1</t>
  </si>
  <si>
    <t>Supporter 2</t>
  </si>
  <si>
    <t>Previous Year ID</t>
  </si>
  <si>
    <t>Current Year ID</t>
  </si>
  <si>
    <t>supporter1</t>
  </si>
  <si>
    <t>supporter2</t>
  </si>
  <si>
    <t>currentYearID</t>
  </si>
  <si>
    <t>address</t>
  </si>
  <si>
    <t>siteOrFacility</t>
  </si>
  <si>
    <t>DPR</t>
  </si>
  <si>
    <t>HRA</t>
  </si>
  <si>
    <t>DCLA</t>
  </si>
  <si>
    <t>DOT</t>
  </si>
  <si>
    <t>DFTA</t>
  </si>
  <si>
    <t>NYPD</t>
  </si>
  <si>
    <t>LPC</t>
  </si>
  <si>
    <t>DOE</t>
  </si>
  <si>
    <t>DSNY</t>
  </si>
  <si>
    <t>NYCTA</t>
  </si>
  <si>
    <t>DHS</t>
  </si>
  <si>
    <t>DCP</t>
  </si>
  <si>
    <t>DEP</t>
  </si>
  <si>
    <t>DOHMH</t>
  </si>
  <si>
    <t>FDNY</t>
  </si>
  <si>
    <t>HHC</t>
  </si>
  <si>
    <t>HPD</t>
  </si>
  <si>
    <t>NYCHA</t>
  </si>
  <si>
    <t>NYCEM</t>
  </si>
  <si>
    <t>Other</t>
  </si>
  <si>
    <t>SBS</t>
  </si>
  <si>
    <t>DCAS</t>
  </si>
  <si>
    <t>SCA</t>
  </si>
  <si>
    <t>DYCD</t>
  </si>
  <si>
    <t>ACS</t>
  </si>
  <si>
    <t>NYPL</t>
  </si>
  <si>
    <t>BPL</t>
  </si>
  <si>
    <t>QL</t>
  </si>
  <si>
    <t>OMB</t>
  </si>
  <si>
    <t>TLC</t>
  </si>
  <si>
    <t>MOME</t>
  </si>
  <si>
    <t>MOCJ</t>
  </si>
  <si>
    <t>EDC</t>
  </si>
  <si>
    <t>DOITT</t>
  </si>
  <si>
    <t>DOB</t>
  </si>
  <si>
    <t>DCWP</t>
  </si>
  <si>
    <t>Department of Parks and Recreation (DPR)</t>
  </si>
  <si>
    <t>Human Resources Administration (HRA)</t>
  </si>
  <si>
    <t>Department of Cultural Affairs (DCLA)</t>
  </si>
  <si>
    <t>Department of Transportation (DOT)</t>
  </si>
  <si>
    <t>Department for the Aging (DFTA)</t>
  </si>
  <si>
    <t>New York Police Department (NYPD)</t>
  </si>
  <si>
    <t>Landmarks Preservation Commission (LPC)</t>
  </si>
  <si>
    <t>Department of Education (DOE)</t>
  </si>
  <si>
    <t>Department of Sanitation (DSNY)</t>
  </si>
  <si>
    <t>New York City Transit Authority (NYCTA)</t>
  </si>
  <si>
    <t>Department for Homeless Services (DHS)</t>
  </si>
  <si>
    <t>Department of City Planning (DCP)</t>
  </si>
  <si>
    <t>Department of Environmental Protection (DEP)</t>
  </si>
  <si>
    <t>Department of Health and Mental Hygiene (DOHMH)</t>
  </si>
  <si>
    <t>Fire Department of New York (FDNY)</t>
  </si>
  <si>
    <t>Health and Hospitals Corporation (HHC)</t>
  </si>
  <si>
    <t>Housing Preservation and Development (HPD)</t>
  </si>
  <si>
    <t>New York City Housing Authority (NYCHA)</t>
  </si>
  <si>
    <t>NYC Emergency Management (NYCEM)</t>
  </si>
  <si>
    <t>Department of Small Business Services (SBS)</t>
  </si>
  <si>
    <t>Department of Citywide Administrative Services (DCAS)</t>
  </si>
  <si>
    <t>School Construction Authority</t>
  </si>
  <si>
    <t>Department of Youth and Community Development (DYCD)</t>
  </si>
  <si>
    <t>Administration for Children's Services (ACS)</t>
  </si>
  <si>
    <t>New York Public Library (NYPL)</t>
  </si>
  <si>
    <t>Brooklyn Public Library (BPL)</t>
  </si>
  <si>
    <t>Queens Library (QL)</t>
  </si>
  <si>
    <t>Office of Management and Budget (OMB)</t>
  </si>
  <si>
    <t>Taxi and Limousine Commission (TLC)</t>
  </si>
  <si>
    <t>Mayor's Office of Media and Entertainment (MOME)</t>
  </si>
  <si>
    <t>Mayor's Office of Criminal Justice (MOCJ)</t>
  </si>
  <si>
    <t>Economic Development Corporation (EDC)</t>
  </si>
  <si>
    <t>Department of Information Technology and Telecommunications (DOITT)</t>
  </si>
  <si>
    <t>Department of Buildings (DOB)</t>
  </si>
  <si>
    <t>Department of Consumer and Worker Protection (DCWP)</t>
  </si>
  <si>
    <t>City University of New York (CUNY)</t>
  </si>
  <si>
    <t>Mayor's Office of Citywide Event Coordination and Management (CECM)</t>
  </si>
  <si>
    <t>CUNY</t>
  </si>
  <si>
    <t>CECM</t>
  </si>
  <si>
    <t>Community Board (for SSO)</t>
  </si>
  <si>
    <t>SI99:New Analysis Question:communityBoardID</t>
  </si>
  <si>
    <t>BX1:New Analysis Question:communityBoardID</t>
  </si>
  <si>
    <t>Your FY26 Community District Overview</t>
  </si>
  <si>
    <t>communityDistrictOverview</t>
  </si>
  <si>
    <t>Export Header</t>
  </si>
  <si>
    <t>Variable Name</t>
  </si>
  <si>
    <t>Question #</t>
  </si>
  <si>
    <t>question(102), option("10830-other")</t>
  </si>
  <si>
    <t>question(100), option("10805-other")</t>
  </si>
  <si>
    <t>question(98), option("10780-other")</t>
  </si>
  <si>
    <t>question(106), option("10844-other")</t>
  </si>
  <si>
    <t>question(110), option("10860-other")</t>
  </si>
  <si>
    <t>question(113), option("10872-other")</t>
  </si>
  <si>
    <t>question(116), option("10887-other")</t>
  </si>
  <si>
    <t>question(119), option("10901-other")</t>
  </si>
  <si>
    <t>question(122), option("10916-other")</t>
  </si>
  <si>
    <t>question(125), option("10931-other")</t>
  </si>
  <si>
    <t>Order</t>
  </si>
  <si>
    <t>For LUA</t>
  </si>
  <si>
    <t>responseID</t>
  </si>
  <si>
    <t>SI99</t>
  </si>
  <si>
    <t>BX1</t>
  </si>
  <si>
    <t>BX2</t>
  </si>
  <si>
    <t>BX3</t>
  </si>
  <si>
    <t>BX4</t>
  </si>
  <si>
    <t>BX5</t>
  </si>
  <si>
    <t>BX6</t>
  </si>
  <si>
    <t>BX7</t>
  </si>
  <si>
    <t>BX8</t>
  </si>
  <si>
    <t>BX9</t>
  </si>
  <si>
    <t>BX10</t>
  </si>
  <si>
    <t>BX11</t>
  </si>
  <si>
    <t>BX12</t>
  </si>
  <si>
    <t>BK1</t>
  </si>
  <si>
    <t>BK2</t>
  </si>
  <si>
    <t>BK3</t>
  </si>
  <si>
    <t>BK4</t>
  </si>
  <si>
    <t>BK5</t>
  </si>
  <si>
    <t>BK6</t>
  </si>
  <si>
    <t>BK7</t>
  </si>
  <si>
    <t>BK8</t>
  </si>
  <si>
    <t>BK9</t>
  </si>
  <si>
    <t>BK10</t>
  </si>
  <si>
    <t>BK11</t>
  </si>
  <si>
    <t>BK12</t>
  </si>
  <si>
    <t>BK13</t>
  </si>
  <si>
    <t>BK14</t>
  </si>
  <si>
    <t>BK15</t>
  </si>
  <si>
    <t>BK16</t>
  </si>
  <si>
    <t>BK17</t>
  </si>
  <si>
    <t>BK18</t>
  </si>
  <si>
    <t>MN1</t>
  </si>
  <si>
    <t>MN2</t>
  </si>
  <si>
    <t>MN3</t>
  </si>
  <si>
    <t>MN4</t>
  </si>
  <si>
    <t>MN5</t>
  </si>
  <si>
    <t>MN6</t>
  </si>
  <si>
    <t>MN7</t>
  </si>
  <si>
    <t>MN8</t>
  </si>
  <si>
    <t>MN9</t>
  </si>
  <si>
    <t>MN10</t>
  </si>
  <si>
    <t>MN11</t>
  </si>
  <si>
    <t>MN12</t>
  </si>
  <si>
    <t>QN1</t>
  </si>
  <si>
    <t>QN2</t>
  </si>
  <si>
    <t>QN3</t>
  </si>
  <si>
    <t>QN4</t>
  </si>
  <si>
    <t>QN5</t>
  </si>
  <si>
    <t>QN6</t>
  </si>
  <si>
    <t>QN7</t>
  </si>
  <si>
    <t>QN8</t>
  </si>
  <si>
    <t>QN9</t>
  </si>
  <si>
    <t>QN10</t>
  </si>
  <si>
    <t>QN11</t>
  </si>
  <si>
    <t>QN12</t>
  </si>
  <si>
    <t>QN13</t>
  </si>
  <si>
    <t>QN14</t>
  </si>
  <si>
    <t>SI1</t>
  </si>
  <si>
    <t>SI2</t>
  </si>
  <si>
    <t>SI3</t>
  </si>
  <si>
    <t>Board</t>
  </si>
  <si>
    <t>Staten Island</t>
  </si>
  <si>
    <t>Queens</t>
  </si>
  <si>
    <t>Manhattan</t>
  </si>
  <si>
    <t>Brooklyn</t>
  </si>
  <si>
    <t>Bronx</t>
  </si>
  <si>
    <t>Boro</t>
  </si>
  <si>
    <t>Borough</t>
  </si>
  <si>
    <t>SI</t>
  </si>
  <si>
    <t>BX</t>
  </si>
  <si>
    <t>BK</t>
  </si>
  <si>
    <t>MN</t>
  </si>
  <si>
    <t>QN</t>
  </si>
  <si>
    <t>borough</t>
  </si>
  <si>
    <t>Change History</t>
  </si>
  <si>
    <t>Currently Logged In 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</si>
</sst>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FFFD0-C5F9-B645-9DCF-F351EF9D5B6C}">
  <dimension ref="A1:E148"/>
  <sheetViews>
    <sheetView topLeftCell="C1" workbookViewId="0">
      <pane ySplit="1" topLeftCell="A2" activePane="bottomLeft" state="frozen"/>
      <selection pane="bottomLeft" activeCell="D4" sqref="D4"/>
    </sheetView>
  </sheetViews>
  <sheetFormatPr baseColWidth="10" defaultColWidth="85.1640625" defaultRowHeight="16" x14ac:dyDescent="0.2"/>
  <cols>
    <col min="1" max="1" width="8" customWidth="1"/>
    <col min="3" max="3" width="17.33203125" customWidth="1"/>
  </cols>
  <sheetData>
    <row r="1" spans="1:5" s="1" customFormat="1" x14ac:dyDescent="0.2">
      <c r="A1" s="1" t="s">
        <v>318</v>
      </c>
      <c r="B1" s="1" t="s">
        <v>305</v>
      </c>
      <c r="C1" s="1" t="s">
        <v>307</v>
      </c>
      <c r="D1" s="1" t="s">
        <v>306</v>
      </c>
      <c r="E1" s="1" t="s">
        <v>319</v>
      </c>
    </row>
    <row r="2" spans="1:5" x14ac:dyDescent="0.2">
      <c r="A2">
        <v>1</v>
      </c>
      <c r="D2" t="s">
        <v>148</v>
      </c>
    </row>
    <row r="3" spans="1:5" x14ac:dyDescent="0.2">
      <c r="D3" t="s">
        <v>394</v>
      </c>
    </row>
    <row r="4" spans="1:5" x14ac:dyDescent="0.2">
      <c r="A4">
        <v>2</v>
      </c>
      <c r="D4" t="s">
        <v>149</v>
      </c>
    </row>
    <row r="5" spans="1:5" x14ac:dyDescent="0.2">
      <c r="A5">
        <v>3</v>
      </c>
      <c r="B5" t="s">
        <v>0</v>
      </c>
      <c r="C5" t="s">
        <v>320</v>
      </c>
      <c r="D5" t="s">
        <v>101</v>
      </c>
      <c r="E5" t="str">
        <f>"x["""&amp;D5&amp;"""] = v["""&amp;C5&amp;"""];"</f>
        <v>x["responseId"] = v["responseID"];</v>
      </c>
    </row>
    <row r="6" spans="1:5" x14ac:dyDescent="0.2">
      <c r="A6">
        <v>4</v>
      </c>
      <c r="B6" t="s">
        <v>1</v>
      </c>
    </row>
    <row r="7" spans="1:5" x14ac:dyDescent="0.2">
      <c r="A7">
        <v>5</v>
      </c>
      <c r="B7" t="s">
        <v>2</v>
      </c>
    </row>
    <row r="8" spans="1:5" x14ac:dyDescent="0.2">
      <c r="A8">
        <v>6</v>
      </c>
      <c r="B8" t="s">
        <v>3</v>
      </c>
    </row>
    <row r="9" spans="1:5" x14ac:dyDescent="0.2">
      <c r="A9">
        <v>7</v>
      </c>
      <c r="B9" t="s">
        <v>4</v>
      </c>
    </row>
    <row r="10" spans="1:5" x14ac:dyDescent="0.2">
      <c r="A10">
        <v>8</v>
      </c>
      <c r="B10" t="s">
        <v>5</v>
      </c>
    </row>
    <row r="11" spans="1:5" x14ac:dyDescent="0.2">
      <c r="A11">
        <v>9</v>
      </c>
      <c r="B11" t="s">
        <v>6</v>
      </c>
    </row>
    <row r="12" spans="1:5" x14ac:dyDescent="0.2">
      <c r="A12">
        <v>10</v>
      </c>
      <c r="B12" t="s">
        <v>7</v>
      </c>
    </row>
    <row r="13" spans="1:5" x14ac:dyDescent="0.2">
      <c r="A13">
        <v>11</v>
      </c>
      <c r="B13" t="s">
        <v>8</v>
      </c>
    </row>
    <row r="14" spans="1:5" x14ac:dyDescent="0.2">
      <c r="A14">
        <v>12</v>
      </c>
      <c r="B14" t="s">
        <v>9</v>
      </c>
    </row>
    <row r="15" spans="1:5" x14ac:dyDescent="0.2">
      <c r="A15">
        <v>13</v>
      </c>
      <c r="B15" t="s">
        <v>10</v>
      </c>
    </row>
    <row r="16" spans="1:5" x14ac:dyDescent="0.2">
      <c r="A16">
        <v>14</v>
      </c>
      <c r="B16" t="s">
        <v>11</v>
      </c>
    </row>
    <row r="17" spans="1:5" x14ac:dyDescent="0.2">
      <c r="A17">
        <v>15</v>
      </c>
      <c r="B17" t="s">
        <v>12</v>
      </c>
    </row>
    <row r="18" spans="1:5" x14ac:dyDescent="0.2">
      <c r="A18">
        <v>16</v>
      </c>
      <c r="B18" t="s">
        <v>13</v>
      </c>
    </row>
    <row r="19" spans="1:5" x14ac:dyDescent="0.2">
      <c r="A19">
        <v>17</v>
      </c>
      <c r="B19" t="s">
        <v>14</v>
      </c>
    </row>
    <row r="20" spans="1:5" x14ac:dyDescent="0.2">
      <c r="A20">
        <v>18</v>
      </c>
      <c r="B20" t="s">
        <v>15</v>
      </c>
    </row>
    <row r="21" spans="1:5" x14ac:dyDescent="0.2">
      <c r="A21">
        <v>19</v>
      </c>
      <c r="B21" t="s">
        <v>16</v>
      </c>
    </row>
    <row r="22" spans="1:5" x14ac:dyDescent="0.2">
      <c r="A22">
        <v>20</v>
      </c>
      <c r="B22" t="s">
        <v>17</v>
      </c>
    </row>
    <row r="23" spans="1:5" x14ac:dyDescent="0.2">
      <c r="A23">
        <v>21</v>
      </c>
      <c r="B23" t="s">
        <v>18</v>
      </c>
    </row>
    <row r="24" spans="1:5" x14ac:dyDescent="0.2">
      <c r="A24">
        <v>22</v>
      </c>
      <c r="B24" t="s">
        <v>210</v>
      </c>
    </row>
    <row r="25" spans="1:5" x14ac:dyDescent="0.2">
      <c r="A25">
        <v>23</v>
      </c>
      <c r="B25" t="s">
        <v>300</v>
      </c>
    </row>
    <row r="26" spans="1:5" x14ac:dyDescent="0.2">
      <c r="A26">
        <v>24</v>
      </c>
      <c r="B26" t="s">
        <v>26</v>
      </c>
    </row>
    <row r="27" spans="1:5" x14ac:dyDescent="0.2">
      <c r="A27">
        <v>25</v>
      </c>
      <c r="B27" t="s">
        <v>27</v>
      </c>
    </row>
    <row r="28" spans="1:5" x14ac:dyDescent="0.2">
      <c r="A28">
        <v>26</v>
      </c>
      <c r="B28" t="s">
        <v>28</v>
      </c>
    </row>
    <row r="29" spans="1:5" x14ac:dyDescent="0.2">
      <c r="A29">
        <v>27</v>
      </c>
      <c r="B29" t="s">
        <v>19</v>
      </c>
      <c r="C29">
        <v>283</v>
      </c>
      <c r="D29" t="s">
        <v>19</v>
      </c>
      <c r="E29" t="str">
        <f>"x["""&amp;D29&amp;"""] = v[""[question("&amp;C29&amp;")]""];"</f>
        <v>x["communityBoardID"] = v["[question(283)]"];</v>
      </c>
    </row>
    <row r="30" spans="1:5" x14ac:dyDescent="0.2">
      <c r="A30">
        <v>28</v>
      </c>
      <c r="B30" t="s">
        <v>301</v>
      </c>
    </row>
    <row r="31" spans="1:5" x14ac:dyDescent="0.2">
      <c r="A31">
        <v>29</v>
      </c>
      <c r="B31" t="s">
        <v>302</v>
      </c>
    </row>
    <row r="32" spans="1:5" x14ac:dyDescent="0.2">
      <c r="A32">
        <v>30</v>
      </c>
      <c r="B32" t="s">
        <v>20</v>
      </c>
      <c r="C32">
        <v>89</v>
      </c>
      <c r="D32" t="s">
        <v>102</v>
      </c>
      <c r="E32" t="str">
        <f t="shared" ref="E32:E37" si="0">"x["""&amp;D32&amp;"""] = v[""[question("&amp;C32&amp;")]""];"</f>
        <v>x["communityBoardChair"] = v["[question(89)]"];</v>
      </c>
    </row>
    <row r="33" spans="1:5" x14ac:dyDescent="0.2">
      <c r="A33">
        <v>31</v>
      </c>
      <c r="B33" t="s">
        <v>21</v>
      </c>
      <c r="C33">
        <v>90</v>
      </c>
      <c r="D33" t="s">
        <v>103</v>
      </c>
      <c r="E33" t="str">
        <f t="shared" si="0"/>
        <v>x["districtManager"] = v["[question(90)]"];</v>
      </c>
    </row>
    <row r="34" spans="1:5" x14ac:dyDescent="0.2">
      <c r="A34">
        <v>32</v>
      </c>
      <c r="B34" t="s">
        <v>22</v>
      </c>
      <c r="C34">
        <v>91</v>
      </c>
      <c r="D34" t="s">
        <v>104</v>
      </c>
      <c r="E34" t="str">
        <f t="shared" si="0"/>
        <v>x["communityBoardOfficeAddress"] = v["[question(91)]"];</v>
      </c>
    </row>
    <row r="35" spans="1:5" x14ac:dyDescent="0.2">
      <c r="A35">
        <v>33</v>
      </c>
      <c r="B35" t="s">
        <v>23</v>
      </c>
      <c r="C35">
        <v>92</v>
      </c>
      <c r="D35" t="s">
        <v>105</v>
      </c>
      <c r="E35" t="str">
        <f t="shared" si="0"/>
        <v>x["communityBoardOfficePhoneNumber"] = v["[question(92)]"];</v>
      </c>
    </row>
    <row r="36" spans="1:5" x14ac:dyDescent="0.2">
      <c r="A36">
        <v>34</v>
      </c>
      <c r="B36" t="s">
        <v>24</v>
      </c>
      <c r="C36">
        <v>93</v>
      </c>
      <c r="D36" t="s">
        <v>106</v>
      </c>
      <c r="E36" t="str">
        <f t="shared" si="0"/>
        <v>x["communityBoardOfficeEmailAddress"] = v["[question(93)]"];</v>
      </c>
    </row>
    <row r="37" spans="1:5" x14ac:dyDescent="0.2">
      <c r="A37">
        <v>35</v>
      </c>
      <c r="B37" t="s">
        <v>25</v>
      </c>
      <c r="C37">
        <v>94</v>
      </c>
      <c r="D37" t="s">
        <v>107</v>
      </c>
      <c r="E37" t="str">
        <f t="shared" si="0"/>
        <v>x["communityBoardWebsiteUrl"] = v["[question(94)]"];</v>
      </c>
    </row>
    <row r="38" spans="1:5" x14ac:dyDescent="0.2">
      <c r="A38">
        <v>36</v>
      </c>
      <c r="B38" t="s">
        <v>29</v>
      </c>
    </row>
    <row r="39" spans="1:5" x14ac:dyDescent="0.2">
      <c r="A39">
        <v>37</v>
      </c>
      <c r="B39" t="s">
        <v>30</v>
      </c>
    </row>
    <row r="40" spans="1:5" x14ac:dyDescent="0.2">
      <c r="A40">
        <v>38</v>
      </c>
      <c r="B40" t="s">
        <v>31</v>
      </c>
    </row>
    <row r="41" spans="1:5" x14ac:dyDescent="0.2">
      <c r="A41">
        <v>39</v>
      </c>
      <c r="B41" t="s">
        <v>303</v>
      </c>
      <c r="C41">
        <v>96</v>
      </c>
      <c r="D41" t="s">
        <v>304</v>
      </c>
      <c r="E41" t="str">
        <f>"x["""&amp;D41&amp;"""] = v[""[question("&amp;C41&amp;")]""];"</f>
        <v>x["communityDistrictOverview"] = v["[question(96)]"];</v>
      </c>
    </row>
    <row r="42" spans="1:5" x14ac:dyDescent="0.2">
      <c r="A42">
        <v>40</v>
      </c>
      <c r="B42" t="s">
        <v>32</v>
      </c>
    </row>
    <row r="43" spans="1:5" x14ac:dyDescent="0.2">
      <c r="A43">
        <v>41</v>
      </c>
      <c r="B43" t="s">
        <v>32</v>
      </c>
    </row>
    <row r="44" spans="1:5" x14ac:dyDescent="0.2">
      <c r="A44">
        <v>42</v>
      </c>
      <c r="B44" t="s">
        <v>33</v>
      </c>
    </row>
    <row r="45" spans="1:5" x14ac:dyDescent="0.2">
      <c r="A45">
        <v>43</v>
      </c>
      <c r="B45" t="s">
        <v>31</v>
      </c>
    </row>
    <row r="46" spans="1:5" x14ac:dyDescent="0.2">
      <c r="A46">
        <v>44</v>
      </c>
      <c r="B46" t="s">
        <v>35</v>
      </c>
      <c r="C46">
        <v>98</v>
      </c>
      <c r="D46" t="s">
        <v>34</v>
      </c>
      <c r="E46" t="str">
        <f>"x["""&amp;D46&amp;"""] = v[""[question("&amp;C46&amp;")]""];"</f>
        <v>x["top3Issues1"] = v["[question(98)]"];</v>
      </c>
    </row>
    <row r="47" spans="1:5" x14ac:dyDescent="0.2">
      <c r="A47">
        <v>45</v>
      </c>
      <c r="B47" t="s">
        <v>37</v>
      </c>
      <c r="C47" t="s">
        <v>310</v>
      </c>
      <c r="D47" t="s">
        <v>36</v>
      </c>
      <c r="E47" t="str">
        <f>"x["""&amp;D47&amp;"""] = v['["&amp;C47&amp;"]'];"</f>
        <v>x["top3Issues1Other"] = v['[question(98), option("10780-other")]'];</v>
      </c>
    </row>
    <row r="48" spans="1:5" x14ac:dyDescent="0.2">
      <c r="A48">
        <v>46</v>
      </c>
      <c r="B48" t="s">
        <v>39</v>
      </c>
      <c r="C48">
        <v>99</v>
      </c>
      <c r="D48" t="s">
        <v>38</v>
      </c>
      <c r="E48" t="str">
        <f>"x["""&amp;D48&amp;"""] = v[""[question("&amp;C48&amp;")]""];"</f>
        <v>x["top3Issues1Explanation"] = v["[question(99)]"];</v>
      </c>
    </row>
    <row r="49" spans="1:5" x14ac:dyDescent="0.2">
      <c r="A49">
        <v>47</v>
      </c>
      <c r="B49" t="s">
        <v>41</v>
      </c>
      <c r="C49">
        <v>100</v>
      </c>
      <c r="D49" t="s">
        <v>40</v>
      </c>
      <c r="E49" t="str">
        <f>"x["""&amp;D49&amp;"""] = v[""[question("&amp;C49&amp;")]""];"</f>
        <v>x["top3Issues2"] = v["[question(100)]"];</v>
      </c>
    </row>
    <row r="50" spans="1:5" x14ac:dyDescent="0.2">
      <c r="A50">
        <v>48</v>
      </c>
      <c r="B50" t="s">
        <v>43</v>
      </c>
      <c r="C50" t="s">
        <v>309</v>
      </c>
      <c r="D50" t="s">
        <v>42</v>
      </c>
      <c r="E50" t="str">
        <f>"x["""&amp;D50&amp;"""] = v['["&amp;C50&amp;"]'];"</f>
        <v>x["top3Issues2Other"] = v['[question(100), option("10805-other")]'];</v>
      </c>
    </row>
    <row r="51" spans="1:5" x14ac:dyDescent="0.2">
      <c r="A51">
        <v>49</v>
      </c>
      <c r="B51" t="s">
        <v>45</v>
      </c>
      <c r="C51">
        <v>101</v>
      </c>
      <c r="D51" t="s">
        <v>44</v>
      </c>
      <c r="E51" t="str">
        <f>"x["""&amp;D51&amp;"""] = v[""[question("&amp;C51&amp;")]""];"</f>
        <v>x["top3Issues2Explanation"] = v["[question(101)]"];</v>
      </c>
    </row>
    <row r="52" spans="1:5" x14ac:dyDescent="0.2">
      <c r="A52">
        <v>50</v>
      </c>
      <c r="B52" t="s">
        <v>47</v>
      </c>
      <c r="C52">
        <v>102</v>
      </c>
      <c r="D52" t="s">
        <v>46</v>
      </c>
      <c r="E52" t="str">
        <f>"x["""&amp;D52&amp;"""] = v[""[question("&amp;C52&amp;")]""];"</f>
        <v>x["top3Issues3"] = v["[question(102)]"];</v>
      </c>
    </row>
    <row r="53" spans="1:5" x14ac:dyDescent="0.2">
      <c r="A53">
        <v>51</v>
      </c>
      <c r="B53" t="s">
        <v>49</v>
      </c>
      <c r="C53" t="s">
        <v>308</v>
      </c>
      <c r="D53" t="s">
        <v>48</v>
      </c>
      <c r="E53" t="str">
        <f>"x["""&amp;D53&amp;"""] = v['["&amp;C53&amp;"]'];"</f>
        <v>x["top3Issues3Other"] = v['[question(102), option("10830-other")]'];</v>
      </c>
    </row>
    <row r="54" spans="1:5" x14ac:dyDescent="0.2">
      <c r="A54">
        <v>52</v>
      </c>
      <c r="B54" t="s">
        <v>51</v>
      </c>
      <c r="C54">
        <v>103</v>
      </c>
      <c r="D54" t="s">
        <v>50</v>
      </c>
      <c r="E54" t="str">
        <f>"x["""&amp;D54&amp;"""] = v[""[question("&amp;C54&amp;")]""];"</f>
        <v>x["top3Issues3Explanation"] = v["[question(103)]"];</v>
      </c>
    </row>
    <row r="55" spans="1:5" x14ac:dyDescent="0.2">
      <c r="A55">
        <v>53</v>
      </c>
      <c r="B55" t="s">
        <v>32</v>
      </c>
    </row>
    <row r="56" spans="1:5" x14ac:dyDescent="0.2">
      <c r="A56">
        <v>54</v>
      </c>
      <c r="B56" t="s">
        <v>32</v>
      </c>
    </row>
    <row r="57" spans="1:5" x14ac:dyDescent="0.2">
      <c r="A57">
        <v>55</v>
      </c>
      <c r="B57" t="s">
        <v>33</v>
      </c>
    </row>
    <row r="58" spans="1:5" x14ac:dyDescent="0.2">
      <c r="A58">
        <v>56</v>
      </c>
      <c r="B58" t="s">
        <v>31</v>
      </c>
    </row>
    <row r="59" spans="1:5" x14ac:dyDescent="0.2">
      <c r="A59">
        <v>57</v>
      </c>
      <c r="B59" t="s">
        <v>52</v>
      </c>
      <c r="C59">
        <v>106</v>
      </c>
      <c r="D59" t="s">
        <v>126</v>
      </c>
      <c r="E59" t="str">
        <f>"x["""&amp;D59&amp;"""] = v[""[question("&amp;C59&amp;")]""];"</f>
        <v>x["mostImportantIssueHealthcareAndHumanServices"] = v["[question(106)]"];</v>
      </c>
    </row>
    <row r="60" spans="1:5" x14ac:dyDescent="0.2">
      <c r="A60">
        <v>58</v>
      </c>
      <c r="B60" t="s">
        <v>53</v>
      </c>
      <c r="C60" t="s">
        <v>311</v>
      </c>
      <c r="D60" t="s">
        <v>141</v>
      </c>
      <c r="E60" t="str">
        <f>"x["""&amp;D60&amp;"""] = v['["&amp;C60&amp;"]'];"</f>
        <v>x["mostImportantIssueHealthcareAndHumanServicesOther"] = v['[question(106), option("10844-other")]'];</v>
      </c>
    </row>
    <row r="61" spans="1:5" x14ac:dyDescent="0.2">
      <c r="A61">
        <v>59</v>
      </c>
      <c r="B61" t="s">
        <v>54</v>
      </c>
      <c r="C61">
        <v>107</v>
      </c>
      <c r="D61" t="s">
        <v>150</v>
      </c>
      <c r="E61" t="str">
        <f>"x["""&amp;D61&amp;"""] = v[""[question("&amp;C61&amp;")]""];"</f>
        <v>x["pleaseExplainYourSelectionForMostImportantIssueInHealthcareAndHumanServices"] = v["[question(107)]"];</v>
      </c>
    </row>
    <row r="62" spans="1:5" x14ac:dyDescent="0.2">
      <c r="A62">
        <v>60</v>
      </c>
      <c r="B62" t="s">
        <v>55</v>
      </c>
      <c r="C62">
        <v>144</v>
      </c>
      <c r="D62" t="s">
        <v>108</v>
      </c>
      <c r="E62" t="str">
        <f>"x["""&amp;D62&amp;"""] = v[""[question("&amp;C62&amp;")]""];"</f>
        <v>x["needsForHealthCareAndFacilities"] = v["[question(144)]"];</v>
      </c>
    </row>
    <row r="63" spans="1:5" x14ac:dyDescent="0.2">
      <c r="A63">
        <v>61</v>
      </c>
      <c r="B63" t="s">
        <v>56</v>
      </c>
      <c r="C63">
        <v>146</v>
      </c>
      <c r="D63" t="s">
        <v>109</v>
      </c>
      <c r="E63" t="str">
        <f>"x["""&amp;D63&amp;"""] = v[""[question("&amp;C63&amp;")]""];"</f>
        <v>x["needsForOlderNewYorkers"] = v["[question(146)]"];</v>
      </c>
    </row>
    <row r="64" spans="1:5" x14ac:dyDescent="0.2">
      <c r="A64">
        <v>62</v>
      </c>
      <c r="B64" t="s">
        <v>57</v>
      </c>
      <c r="C64">
        <v>147</v>
      </c>
      <c r="D64" t="s">
        <v>110</v>
      </c>
      <c r="E64" t="str">
        <f>"x["""&amp;D64&amp;"""] = v[""[question("&amp;C64&amp;")]""];"</f>
        <v>x["needsForHomeless"] = v["[question(147)]"];</v>
      </c>
    </row>
    <row r="65" spans="1:5" x14ac:dyDescent="0.2">
      <c r="A65">
        <v>63</v>
      </c>
      <c r="B65" t="s">
        <v>58</v>
      </c>
      <c r="C65">
        <v>148</v>
      </c>
      <c r="D65" t="s">
        <v>111</v>
      </c>
      <c r="E65" t="str">
        <f>"x["""&amp;D65&amp;"""] = v[""[question("&amp;C65&amp;")]""];"</f>
        <v>x["needsForLowIncomeNewYorkers"] = v["[question(148)]"];</v>
      </c>
    </row>
    <row r="66" spans="1:5" x14ac:dyDescent="0.2">
      <c r="A66">
        <v>64</v>
      </c>
      <c r="B66" t="s">
        <v>32</v>
      </c>
    </row>
    <row r="67" spans="1:5" x14ac:dyDescent="0.2">
      <c r="A67">
        <v>65</v>
      </c>
      <c r="B67" t="s">
        <v>32</v>
      </c>
    </row>
    <row r="68" spans="1:5" x14ac:dyDescent="0.2">
      <c r="A68">
        <v>66</v>
      </c>
      <c r="B68" t="s">
        <v>33</v>
      </c>
    </row>
    <row r="69" spans="1:5" x14ac:dyDescent="0.2">
      <c r="A69">
        <v>67</v>
      </c>
      <c r="B69" t="s">
        <v>31</v>
      </c>
    </row>
    <row r="70" spans="1:5" x14ac:dyDescent="0.2">
      <c r="A70">
        <v>68</v>
      </c>
      <c r="B70" t="s">
        <v>59</v>
      </c>
      <c r="C70">
        <v>110</v>
      </c>
      <c r="D70" t="s">
        <v>132</v>
      </c>
      <c r="E70" t="str">
        <f>"x["""&amp;D70&amp;"""] = v[""[question("&amp;C70&amp;")]""];"</f>
        <v>x["mostImportantIssueYouthEducationAndChildWelfare"] = v["[question(110)]"];</v>
      </c>
    </row>
    <row r="71" spans="1:5" x14ac:dyDescent="0.2">
      <c r="A71">
        <v>69</v>
      </c>
      <c r="B71" t="s">
        <v>60</v>
      </c>
      <c r="C71" t="s">
        <v>312</v>
      </c>
      <c r="D71" t="s">
        <v>142</v>
      </c>
      <c r="E71" t="str">
        <f>"x["""&amp;D71&amp;"""] = v['["&amp;C71&amp;"]'];"</f>
        <v>x["mostImportantIssueYouthEducationAndChildWelfareOther"] = v['[question(110), option("10860-other")]'];</v>
      </c>
    </row>
    <row r="72" spans="1:5" x14ac:dyDescent="0.2">
      <c r="A72">
        <v>70</v>
      </c>
      <c r="B72" t="s">
        <v>61</v>
      </c>
      <c r="C72">
        <v>111</v>
      </c>
      <c r="D72" t="s">
        <v>133</v>
      </c>
      <c r="E72" t="str">
        <f>"x["""&amp;D72&amp;"""] = v[""[question("&amp;C72&amp;")]""];"</f>
        <v>x["pleaseExplainYourSelectionForMostImportantIssueInYouthEducationAndChildWelfareIssues"] = v["[question(111)]"];</v>
      </c>
    </row>
    <row r="73" spans="1:5" x14ac:dyDescent="0.2">
      <c r="A73">
        <v>71</v>
      </c>
      <c r="B73" t="s">
        <v>62</v>
      </c>
      <c r="C73">
        <v>150</v>
      </c>
      <c r="D73" t="s">
        <v>112</v>
      </c>
      <c r="E73" t="str">
        <f>"x["""&amp;D73&amp;"""] = v[""[question("&amp;C73&amp;")]""];"</f>
        <v>x["needsForYouthEducation"] = v["[question(150)]"];</v>
      </c>
    </row>
    <row r="74" spans="1:5" x14ac:dyDescent="0.2">
      <c r="A74">
        <v>72</v>
      </c>
      <c r="B74" t="s">
        <v>63</v>
      </c>
      <c r="C74">
        <v>152</v>
      </c>
      <c r="D74" t="s">
        <v>113</v>
      </c>
      <c r="E74" t="str">
        <f>"x["""&amp;D74&amp;"""] = v[""[question("&amp;C74&amp;")]""];"</f>
        <v>x["needsForYouthAndChildWelfare"] = v["[question(152)]"];</v>
      </c>
    </row>
    <row r="75" spans="1:5" x14ac:dyDescent="0.2">
      <c r="A75">
        <v>73</v>
      </c>
      <c r="B75" t="s">
        <v>32</v>
      </c>
    </row>
    <row r="76" spans="1:5" x14ac:dyDescent="0.2">
      <c r="A76">
        <v>74</v>
      </c>
      <c r="B76" t="s">
        <v>32</v>
      </c>
    </row>
    <row r="77" spans="1:5" x14ac:dyDescent="0.2">
      <c r="A77">
        <v>75</v>
      </c>
      <c r="B77" t="s">
        <v>33</v>
      </c>
    </row>
    <row r="78" spans="1:5" x14ac:dyDescent="0.2">
      <c r="A78">
        <v>76</v>
      </c>
      <c r="B78" t="s">
        <v>31</v>
      </c>
    </row>
    <row r="79" spans="1:5" x14ac:dyDescent="0.2">
      <c r="A79">
        <v>77</v>
      </c>
      <c r="B79" t="s">
        <v>64</v>
      </c>
      <c r="C79">
        <v>113</v>
      </c>
      <c r="D79" t="s">
        <v>127</v>
      </c>
      <c r="E79" t="str">
        <f>"x["""&amp;D79&amp;"""] = v[""[question("&amp;C79&amp;")]""];"</f>
        <v>x["mostImportantIssuePublicSafetyAndEmergencyServices"] = v["[question(113)]"];</v>
      </c>
    </row>
    <row r="80" spans="1:5" x14ac:dyDescent="0.2">
      <c r="A80">
        <v>78</v>
      </c>
      <c r="B80" t="s">
        <v>65</v>
      </c>
      <c r="C80" t="s">
        <v>313</v>
      </c>
      <c r="D80" t="s">
        <v>143</v>
      </c>
      <c r="E80" t="str">
        <f>"x["""&amp;D80&amp;"""] = v['["&amp;C80&amp;"]'];"</f>
        <v>x["mostImportantIssuePublicSafetyAndEmergencyServicesOther"] = v['[question(113), option("10872-other")]'];</v>
      </c>
    </row>
    <row r="81" spans="1:5" x14ac:dyDescent="0.2">
      <c r="A81">
        <v>79</v>
      </c>
      <c r="B81" t="s">
        <v>66</v>
      </c>
      <c r="C81">
        <v>114</v>
      </c>
      <c r="D81" t="s">
        <v>130</v>
      </c>
      <c r="E81" t="str">
        <f>"x["""&amp;D81&amp;"""] = v[""[question("&amp;C81&amp;")]""];"</f>
        <v>x["pleaseExplainYourSelectionForMostImportantPublicSafetyAndEmergencyServicesIssue"] = v["[question(114)]"];</v>
      </c>
    </row>
    <row r="82" spans="1:5" x14ac:dyDescent="0.2">
      <c r="A82">
        <v>80</v>
      </c>
      <c r="B82" t="s">
        <v>67</v>
      </c>
      <c r="C82">
        <v>154</v>
      </c>
      <c r="D82" t="s">
        <v>114</v>
      </c>
      <c r="E82" t="str">
        <f>"x["""&amp;D82&amp;"""] = v[""[question("&amp;C82&amp;")]""];"</f>
        <v>x["needsForPublicSafety"] = v["[question(154)]"];</v>
      </c>
    </row>
    <row r="83" spans="1:5" x14ac:dyDescent="0.2">
      <c r="A83">
        <v>81</v>
      </c>
      <c r="B83" t="s">
        <v>68</v>
      </c>
      <c r="C83">
        <v>155</v>
      </c>
      <c r="D83" t="s">
        <v>115</v>
      </c>
      <c r="E83" t="str">
        <f>"x["""&amp;D83&amp;"""] = v[""[question("&amp;C83&amp;")]""];"</f>
        <v>x["needsForEmergencyServices"] = v["[question(155)]"];</v>
      </c>
    </row>
    <row r="84" spans="1:5" x14ac:dyDescent="0.2">
      <c r="A84">
        <v>82</v>
      </c>
      <c r="B84" t="s">
        <v>32</v>
      </c>
    </row>
    <row r="85" spans="1:5" x14ac:dyDescent="0.2">
      <c r="A85">
        <v>83</v>
      </c>
      <c r="B85" t="s">
        <v>32</v>
      </c>
    </row>
    <row r="86" spans="1:5" x14ac:dyDescent="0.2">
      <c r="A86">
        <v>84</v>
      </c>
      <c r="B86" t="s">
        <v>33</v>
      </c>
    </row>
    <row r="87" spans="1:5" x14ac:dyDescent="0.2">
      <c r="A87">
        <v>85</v>
      </c>
      <c r="B87" t="s">
        <v>31</v>
      </c>
    </row>
    <row r="88" spans="1:5" x14ac:dyDescent="0.2">
      <c r="A88">
        <v>86</v>
      </c>
      <c r="B88" t="s">
        <v>69</v>
      </c>
      <c r="C88">
        <v>116</v>
      </c>
      <c r="D88" t="s">
        <v>134</v>
      </c>
      <c r="E88" t="str">
        <f>"x["""&amp;D88&amp;"""] = v[""[question("&amp;C88&amp;")]""];"</f>
        <v>x["mostImportantIssueCoreInfrastructureCityServicesAndResiliency"] = v["[question(116)]"];</v>
      </c>
    </row>
    <row r="89" spans="1:5" x14ac:dyDescent="0.2">
      <c r="A89">
        <v>87</v>
      </c>
      <c r="B89" t="s">
        <v>70</v>
      </c>
      <c r="C89" t="s">
        <v>314</v>
      </c>
      <c r="D89" t="s">
        <v>144</v>
      </c>
      <c r="E89" t="str">
        <f>"x["""&amp;D89&amp;"""] = v['["&amp;C89&amp;"]'];"</f>
        <v>x["mostImportantIssueCoreInfrastructureCityServicesAndResiliencyOther"] = v['[question(116), option("10887-other")]'];</v>
      </c>
    </row>
    <row r="90" spans="1:5" x14ac:dyDescent="0.2">
      <c r="A90">
        <v>88</v>
      </c>
      <c r="B90" t="s">
        <v>71</v>
      </c>
      <c r="C90">
        <v>117</v>
      </c>
      <c r="D90" t="s">
        <v>135</v>
      </c>
      <c r="E90" t="str">
        <f>"x["""&amp;D90&amp;"""] = v[""[question("&amp;C90&amp;")]""];"</f>
        <v>x["pleaseExplainYourSelectionForMostImportantCoreInfrastructureCityServicesAndResiliencyIssue"] = v["[question(117)]"];</v>
      </c>
    </row>
    <row r="91" spans="1:5" x14ac:dyDescent="0.2">
      <c r="A91">
        <v>89</v>
      </c>
      <c r="B91" t="s">
        <v>72</v>
      </c>
      <c r="C91">
        <v>157</v>
      </c>
      <c r="D91" t="s">
        <v>136</v>
      </c>
      <c r="E91" t="str">
        <f>"x["""&amp;D91&amp;"""] = v[""[question("&amp;C91&amp;")]""];"</f>
        <v>x["needsForWaterSewersAndEnvironmentalProtection"] = v["[question(157)]"];</v>
      </c>
    </row>
    <row r="92" spans="1:5" x14ac:dyDescent="0.2">
      <c r="A92">
        <v>90</v>
      </c>
      <c r="B92" t="s">
        <v>73</v>
      </c>
      <c r="C92">
        <v>158</v>
      </c>
      <c r="D92" t="s">
        <v>116</v>
      </c>
      <c r="E92" t="str">
        <f>"x["""&amp;D92&amp;"""] = v[""[question("&amp;C92&amp;")]""];"</f>
        <v>x["needsForSanitationServices"] = v["[question(158)]"];</v>
      </c>
    </row>
    <row r="93" spans="1:5" x14ac:dyDescent="0.2">
      <c r="A93">
        <v>91</v>
      </c>
      <c r="B93" t="s">
        <v>32</v>
      </c>
    </row>
    <row r="94" spans="1:5" x14ac:dyDescent="0.2">
      <c r="A94">
        <v>92</v>
      </c>
      <c r="B94" t="s">
        <v>32</v>
      </c>
    </row>
    <row r="95" spans="1:5" x14ac:dyDescent="0.2">
      <c r="A95">
        <v>93</v>
      </c>
      <c r="B95" t="s">
        <v>33</v>
      </c>
    </row>
    <row r="96" spans="1:5" x14ac:dyDescent="0.2">
      <c r="A96">
        <v>94</v>
      </c>
      <c r="B96" t="s">
        <v>31</v>
      </c>
    </row>
    <row r="97" spans="1:5" x14ac:dyDescent="0.2">
      <c r="A97">
        <v>95</v>
      </c>
      <c r="B97" t="s">
        <v>74</v>
      </c>
      <c r="C97">
        <v>119</v>
      </c>
      <c r="D97" t="s">
        <v>137</v>
      </c>
      <c r="E97" t="str">
        <f>"x["""&amp;D97&amp;"""] = v[""[question("&amp;C97&amp;")]""];"</f>
        <v>x["mostImportantIssueHousingEconomicDevelopmentAndLandUse"] = v["[question(119)]"];</v>
      </c>
    </row>
    <row r="98" spans="1:5" x14ac:dyDescent="0.2">
      <c r="A98">
        <v>96</v>
      </c>
      <c r="B98" t="s">
        <v>75</v>
      </c>
      <c r="C98" t="s">
        <v>315</v>
      </c>
      <c r="D98" t="s">
        <v>145</v>
      </c>
      <c r="E98" t="str">
        <f>"x["""&amp;D98&amp;"""] = v['["&amp;C98&amp;"]'];"</f>
        <v>x["mostImportantIssueHousingEconomicDevelopmentAndLandUseOther"] = v['[question(119), option("10901-other")]'];</v>
      </c>
    </row>
    <row r="99" spans="1:5" x14ac:dyDescent="0.2">
      <c r="A99">
        <v>97</v>
      </c>
      <c r="B99" t="s">
        <v>76</v>
      </c>
      <c r="C99">
        <v>120</v>
      </c>
      <c r="D99" t="s">
        <v>140</v>
      </c>
      <c r="E99" t="str">
        <f>"x["""&amp;D99&amp;"""] = v[""[question("&amp;C99&amp;")]""];"</f>
        <v>x["pleaseExplainYourSelectionForMostImportantHousingEconomicDevelopmentAndHousingIssue"] = v["[question(120)]"];</v>
      </c>
    </row>
    <row r="100" spans="1:5" x14ac:dyDescent="0.2">
      <c r="A100">
        <v>98</v>
      </c>
      <c r="B100" t="s">
        <v>77</v>
      </c>
      <c r="C100">
        <v>161</v>
      </c>
      <c r="D100" t="s">
        <v>117</v>
      </c>
      <c r="E100" t="str">
        <f>"x["""&amp;D100&amp;"""] = v[""[question("&amp;C100&amp;")]""];"</f>
        <v>x["needsForLandUse"] = v["[question(161)]"];</v>
      </c>
    </row>
    <row r="101" spans="1:5" x14ac:dyDescent="0.2">
      <c r="A101">
        <v>99</v>
      </c>
      <c r="B101" t="s">
        <v>78</v>
      </c>
      <c r="C101">
        <v>162</v>
      </c>
      <c r="D101" t="s">
        <v>118</v>
      </c>
      <c r="E101" t="str">
        <f>"x["""&amp;D101&amp;"""] = v[""[question("&amp;C101&amp;")]""];"</f>
        <v>x["needsForHousing"] = v["[question(162)]"];</v>
      </c>
    </row>
    <row r="102" spans="1:5" x14ac:dyDescent="0.2">
      <c r="A102">
        <v>100</v>
      </c>
      <c r="B102" t="s">
        <v>79</v>
      </c>
      <c r="C102">
        <v>163</v>
      </c>
      <c r="D102" t="s">
        <v>119</v>
      </c>
      <c r="E102" t="str">
        <f>"x["""&amp;D102&amp;"""] = v[""[question("&amp;C102&amp;")]""];"</f>
        <v>x["needsForEconomicDevelopment"] = v["[question(163)]"];</v>
      </c>
    </row>
    <row r="103" spans="1:5" x14ac:dyDescent="0.2">
      <c r="A103">
        <v>101</v>
      </c>
      <c r="B103" t="s">
        <v>32</v>
      </c>
    </row>
    <row r="104" spans="1:5" x14ac:dyDescent="0.2">
      <c r="A104">
        <v>102</v>
      </c>
      <c r="B104" t="s">
        <v>32</v>
      </c>
    </row>
    <row r="105" spans="1:5" x14ac:dyDescent="0.2">
      <c r="A105">
        <v>103</v>
      </c>
      <c r="B105" t="s">
        <v>33</v>
      </c>
    </row>
    <row r="106" spans="1:5" x14ac:dyDescent="0.2">
      <c r="A106">
        <v>104</v>
      </c>
      <c r="B106" t="s">
        <v>31</v>
      </c>
    </row>
    <row r="107" spans="1:5" x14ac:dyDescent="0.2">
      <c r="A107">
        <v>105</v>
      </c>
      <c r="B107" t="s">
        <v>80</v>
      </c>
      <c r="C107">
        <v>122</v>
      </c>
      <c r="D107" t="s">
        <v>128</v>
      </c>
      <c r="E107" t="str">
        <f>"x["""&amp;D107&amp;"""] = v[""[question("&amp;C107&amp;")]""];"</f>
        <v>x["mostImportantIssueTransportationAndMobility"] = v["[question(122)]"];</v>
      </c>
    </row>
    <row r="108" spans="1:5" x14ac:dyDescent="0.2">
      <c r="A108">
        <v>106</v>
      </c>
      <c r="B108" t="s">
        <v>81</v>
      </c>
      <c r="C108" t="s">
        <v>316</v>
      </c>
      <c r="D108" t="s">
        <v>146</v>
      </c>
      <c r="E108" t="str">
        <f>"x["""&amp;D108&amp;"""] = v['["&amp;C108&amp;"]'];"</f>
        <v>x["mostImportantIssueTransportationAndMobilityOther"] = v['[question(122), option("10916-other")]'];</v>
      </c>
    </row>
    <row r="109" spans="1:5" x14ac:dyDescent="0.2">
      <c r="A109">
        <v>107</v>
      </c>
      <c r="B109" t="s">
        <v>82</v>
      </c>
      <c r="C109">
        <v>123</v>
      </c>
      <c r="D109" t="s">
        <v>131</v>
      </c>
      <c r="E109" t="str">
        <f>"x["""&amp;D109&amp;"""] = v[""[question("&amp;C109&amp;")]""];"</f>
        <v>x["pleaseExplainYourSelectionForMostImportantTransportationAndMobilityIssue"] = v["[question(123)]"];</v>
      </c>
    </row>
    <row r="110" spans="1:5" x14ac:dyDescent="0.2">
      <c r="A110">
        <v>108</v>
      </c>
      <c r="B110" t="s">
        <v>83</v>
      </c>
      <c r="C110">
        <v>165</v>
      </c>
      <c r="D110" t="s">
        <v>120</v>
      </c>
      <c r="E110" t="str">
        <f>"x["""&amp;D110&amp;"""] = v[""[question("&amp;C110&amp;")]""];"</f>
        <v>x["needsForTrafficAndTransportationInfrastructure"] = v["[question(165)]"];</v>
      </c>
    </row>
    <row r="111" spans="1:5" x14ac:dyDescent="0.2">
      <c r="A111">
        <v>109</v>
      </c>
      <c r="B111" t="s">
        <v>84</v>
      </c>
      <c r="C111">
        <v>167</v>
      </c>
      <c r="D111" t="s">
        <v>121</v>
      </c>
      <c r="E111" t="str">
        <f>"x["""&amp;D111&amp;"""] = v[""[question("&amp;C111&amp;")]""];"</f>
        <v>x["needsForTransitServices"] = v["[question(167)]"];</v>
      </c>
    </row>
    <row r="112" spans="1:5" x14ac:dyDescent="0.2">
      <c r="A112">
        <v>110</v>
      </c>
      <c r="B112" t="s">
        <v>32</v>
      </c>
    </row>
    <row r="113" spans="1:5" x14ac:dyDescent="0.2">
      <c r="A113">
        <v>111</v>
      </c>
      <c r="B113" t="s">
        <v>32</v>
      </c>
    </row>
    <row r="114" spans="1:5" x14ac:dyDescent="0.2">
      <c r="A114">
        <v>112</v>
      </c>
      <c r="B114" t="s">
        <v>33</v>
      </c>
    </row>
    <row r="115" spans="1:5" x14ac:dyDescent="0.2">
      <c r="A115">
        <v>113</v>
      </c>
      <c r="B115" t="s">
        <v>31</v>
      </c>
    </row>
    <row r="116" spans="1:5" x14ac:dyDescent="0.2">
      <c r="A116">
        <v>114</v>
      </c>
      <c r="B116" t="s">
        <v>85</v>
      </c>
      <c r="C116">
        <v>125</v>
      </c>
      <c r="D116" t="s">
        <v>138</v>
      </c>
      <c r="E116" t="str">
        <f>"x["""&amp;D116&amp;"""] = v[""[question("&amp;C116&amp;")]""];"</f>
        <v>x["mostImportantIssueParksCulturalAndOtherCommunityFacilities"] = v["[question(125)]"];</v>
      </c>
    </row>
    <row r="117" spans="1:5" x14ac:dyDescent="0.2">
      <c r="A117">
        <v>115</v>
      </c>
      <c r="B117" t="s">
        <v>86</v>
      </c>
      <c r="C117" t="s">
        <v>317</v>
      </c>
      <c r="D117" t="s">
        <v>147</v>
      </c>
      <c r="E117" t="str">
        <f>"x["""&amp;D117&amp;"""] = v['["&amp;C117&amp;"]'];"</f>
        <v>x["mostImportantIssueParksCulturalAndOtherCommunityFacilitiesOther"] = v['[question(125), option("10931-other")]'];</v>
      </c>
    </row>
    <row r="118" spans="1:5" x14ac:dyDescent="0.2">
      <c r="A118">
        <v>116</v>
      </c>
      <c r="B118" t="s">
        <v>87</v>
      </c>
      <c r="C118">
        <v>126</v>
      </c>
      <c r="D118" t="s">
        <v>139</v>
      </c>
      <c r="E118" t="str">
        <f>"x["""&amp;D118&amp;"""] = v[""[question("&amp;C118&amp;")]""];"</f>
        <v>x["pleaseExplainYourSelectionForMostImportantParksCulturalAndOtherCommunityFacilitiesIssue"] = v["[question(126)]"];</v>
      </c>
    </row>
    <row r="119" spans="1:5" x14ac:dyDescent="0.2">
      <c r="A119">
        <v>117</v>
      </c>
      <c r="B119" t="s">
        <v>88</v>
      </c>
      <c r="C119">
        <v>169</v>
      </c>
      <c r="D119" t="s">
        <v>122</v>
      </c>
      <c r="E119" t="str">
        <f>"x["""&amp;D119&amp;"""] = v[""[question("&amp;C119&amp;")]""];"</f>
        <v>x["needsForParks"] = v["[question(169)]"];</v>
      </c>
    </row>
    <row r="120" spans="1:5" x14ac:dyDescent="0.2">
      <c r="A120">
        <v>118</v>
      </c>
      <c r="B120" t="s">
        <v>89</v>
      </c>
      <c r="C120">
        <v>170</v>
      </c>
      <c r="D120" t="s">
        <v>123</v>
      </c>
      <c r="E120" t="str">
        <f>"x["""&amp;D120&amp;"""] = v[""[question("&amp;C120&amp;")]""];"</f>
        <v>x["needsForCulturalServices"] = v["[question(170)]"];</v>
      </c>
    </row>
    <row r="121" spans="1:5" x14ac:dyDescent="0.2">
      <c r="A121">
        <v>119</v>
      </c>
      <c r="B121" t="s">
        <v>90</v>
      </c>
      <c r="C121">
        <v>171</v>
      </c>
      <c r="D121" t="s">
        <v>124</v>
      </c>
      <c r="E121" t="str">
        <f>"x["""&amp;D121&amp;"""] = v[""[question("&amp;C121&amp;")]""];"</f>
        <v>x["needsForLibraryServices"] = v["[question(171)]"];</v>
      </c>
    </row>
    <row r="122" spans="1:5" x14ac:dyDescent="0.2">
      <c r="A122">
        <v>120</v>
      </c>
      <c r="B122" t="s">
        <v>91</v>
      </c>
      <c r="C122">
        <v>172</v>
      </c>
      <c r="D122" t="s">
        <v>125</v>
      </c>
      <c r="E122" t="str">
        <f>"x["""&amp;D122&amp;"""] = v[""[question("&amp;C122&amp;")]""];"</f>
        <v>x["needsForCommunityBoards"] = v["[question(172)]"];</v>
      </c>
    </row>
    <row r="123" spans="1:5" x14ac:dyDescent="0.2">
      <c r="A123">
        <v>121</v>
      </c>
      <c r="B123" t="s">
        <v>32</v>
      </c>
    </row>
    <row r="124" spans="1:5" x14ac:dyDescent="0.2">
      <c r="A124">
        <v>122</v>
      </c>
      <c r="B124" t="s">
        <v>32</v>
      </c>
    </row>
    <row r="125" spans="1:5" x14ac:dyDescent="0.2">
      <c r="A125">
        <v>123</v>
      </c>
      <c r="B125" t="s">
        <v>33</v>
      </c>
    </row>
    <row r="126" spans="1:5" x14ac:dyDescent="0.2">
      <c r="A126">
        <v>124</v>
      </c>
      <c r="B126" t="s">
        <v>31</v>
      </c>
    </row>
    <row r="127" spans="1:5" x14ac:dyDescent="0.2">
      <c r="A127">
        <v>125</v>
      </c>
      <c r="B127" t="s">
        <v>92</v>
      </c>
      <c r="C127">
        <v>127</v>
      </c>
      <c r="D127" t="s">
        <v>151</v>
      </c>
      <c r="E127" t="str">
        <f>"x["""&amp;D127&amp;"""] = v[""[question("&amp;C127&amp;")]""];"</f>
        <v>x["anyNeedsNotDetailedInThePrecedingPolicyArea"] = v["[question(127)]"];</v>
      </c>
    </row>
    <row r="128" spans="1:5" x14ac:dyDescent="0.2">
      <c r="A128">
        <v>126</v>
      </c>
      <c r="B128" t="s">
        <v>32</v>
      </c>
    </row>
    <row r="129" spans="1:5" x14ac:dyDescent="0.2">
      <c r="A129">
        <v>127</v>
      </c>
      <c r="B129" t="s">
        <v>32</v>
      </c>
    </row>
    <row r="130" spans="1:5" x14ac:dyDescent="0.2">
      <c r="A130">
        <v>128</v>
      </c>
      <c r="B130" t="s">
        <v>33</v>
      </c>
    </row>
    <row r="131" spans="1:5" x14ac:dyDescent="0.2">
      <c r="A131">
        <v>129</v>
      </c>
      <c r="B131" t="s">
        <v>31</v>
      </c>
    </row>
    <row r="132" spans="1:5" x14ac:dyDescent="0.2">
      <c r="A132">
        <v>130</v>
      </c>
      <c r="B132" t="s">
        <v>93</v>
      </c>
      <c r="C132">
        <v>128</v>
      </c>
      <c r="D132" t="s">
        <v>129</v>
      </c>
      <c r="E132" t="str">
        <f>"x["""&amp;D132&amp;"""] = v[""[question("&amp;C132&amp;")]""];"</f>
        <v>x["anyAdditionalCommentsRelatedToYourDistrictsNeedsAndBudgetRequests"] = v["[question(128)]"];</v>
      </c>
    </row>
    <row r="133" spans="1:5" x14ac:dyDescent="0.2">
      <c r="A133">
        <v>131</v>
      </c>
      <c r="B133" t="s">
        <v>32</v>
      </c>
    </row>
    <row r="134" spans="1:5" x14ac:dyDescent="0.2">
      <c r="A134">
        <v>132</v>
      </c>
      <c r="B134" t="s">
        <v>32</v>
      </c>
    </row>
    <row r="135" spans="1:5" x14ac:dyDescent="0.2">
      <c r="A135">
        <v>133</v>
      </c>
      <c r="B135" t="s">
        <v>33</v>
      </c>
    </row>
    <row r="136" spans="1:5" x14ac:dyDescent="0.2">
      <c r="A136">
        <v>134</v>
      </c>
      <c r="B136" t="s">
        <v>31</v>
      </c>
    </row>
    <row r="137" spans="1:5" x14ac:dyDescent="0.2">
      <c r="A137">
        <v>135</v>
      </c>
      <c r="B137" t="s">
        <v>94</v>
      </c>
      <c r="C137">
        <v>77</v>
      </c>
      <c r="D137" t="s">
        <v>94</v>
      </c>
      <c r="E137" t="str">
        <f>"x["""&amp;D137&amp;"""] = v[""[question("&amp;C137&amp;")]""];"</f>
        <v>x["cb"] = v["[question(77)]"];</v>
      </c>
    </row>
    <row r="138" spans="1:5" x14ac:dyDescent="0.2">
      <c r="A138">
        <v>136</v>
      </c>
      <c r="B138" t="s">
        <v>95</v>
      </c>
    </row>
    <row r="139" spans="1:5" x14ac:dyDescent="0.2">
      <c r="A139">
        <v>137</v>
      </c>
      <c r="B139" t="s">
        <v>96</v>
      </c>
    </row>
    <row r="140" spans="1:5" x14ac:dyDescent="0.2">
      <c r="A140">
        <v>138</v>
      </c>
      <c r="B140" t="s">
        <v>31</v>
      </c>
    </row>
    <row r="141" spans="1:5" x14ac:dyDescent="0.2">
      <c r="A141">
        <v>139</v>
      </c>
      <c r="B141" t="s">
        <v>97</v>
      </c>
    </row>
    <row r="142" spans="1:5" x14ac:dyDescent="0.2">
      <c r="A142">
        <v>140</v>
      </c>
      <c r="B142" t="s">
        <v>98</v>
      </c>
    </row>
    <row r="143" spans="1:5" x14ac:dyDescent="0.2">
      <c r="A143">
        <v>141</v>
      </c>
      <c r="B143" t="s">
        <v>31</v>
      </c>
    </row>
    <row r="144" spans="1:5" x14ac:dyDescent="0.2">
      <c r="A144">
        <v>142</v>
      </c>
      <c r="B144" t="s">
        <v>99</v>
      </c>
    </row>
    <row r="145" spans="1:2" x14ac:dyDescent="0.2">
      <c r="A145">
        <v>143</v>
      </c>
      <c r="B145" t="s">
        <v>100</v>
      </c>
    </row>
    <row r="146" spans="1:2" x14ac:dyDescent="0.2">
      <c r="A146">
        <v>144</v>
      </c>
      <c r="B146" t="s">
        <v>31</v>
      </c>
    </row>
    <row r="147" spans="1:2" x14ac:dyDescent="0.2">
      <c r="A147">
        <v>145</v>
      </c>
      <c r="B147" t="s">
        <v>26</v>
      </c>
    </row>
    <row r="148" spans="1:2" x14ac:dyDescent="0.2">
      <c r="A148">
        <v>146</v>
      </c>
      <c r="B148" t="s">
        <v>27</v>
      </c>
    </row>
  </sheetData>
  <autoFilter ref="A1:E148" xr:uid="{F02FFFD0-C5F9-B645-9DCF-F351EF9D5B6C}"/>
  <sortState xmlns:xlrd2="http://schemas.microsoft.com/office/spreadsheetml/2017/richdata2" ref="A2:E148">
    <sortCondition ref="A2:A14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5E8B0-77B9-4E4F-8066-17FC89ECA64A}">
  <dimension ref="A1:B75"/>
  <sheetViews>
    <sheetView tabSelected="1" workbookViewId="0">
      <selection activeCell="A74" sqref="A74:A75"/>
    </sheetView>
  </sheetViews>
  <sheetFormatPr baseColWidth="10" defaultRowHeight="16" x14ac:dyDescent="0.2"/>
  <cols>
    <col min="1" max="1" width="130" bestFit="1" customWidth="1"/>
  </cols>
  <sheetData>
    <row r="1" spans="1:2" x14ac:dyDescent="0.2">
      <c r="B1" t="s">
        <v>148</v>
      </c>
    </row>
    <row r="2" spans="1:2" x14ac:dyDescent="0.2">
      <c r="B2" t="s">
        <v>394</v>
      </c>
    </row>
    <row r="3" spans="1:2" x14ac:dyDescent="0.2">
      <c r="B3" t="s">
        <v>149</v>
      </c>
    </row>
    <row r="4" spans="1:2" x14ac:dyDescent="0.2">
      <c r="B4" t="s">
        <v>209</v>
      </c>
    </row>
    <row r="5" spans="1:2" x14ac:dyDescent="0.2">
      <c r="A5" t="s">
        <v>0</v>
      </c>
      <c r="B5" t="s">
        <v>101</v>
      </c>
    </row>
    <row r="6" spans="1:2" x14ac:dyDescent="0.2">
      <c r="A6" t="s">
        <v>1</v>
      </c>
    </row>
    <row r="7" spans="1:2" x14ac:dyDescent="0.2">
      <c r="A7" t="s">
        <v>2</v>
      </c>
    </row>
    <row r="8" spans="1:2" x14ac:dyDescent="0.2">
      <c r="A8" t="s">
        <v>3</v>
      </c>
    </row>
    <row r="9" spans="1:2" x14ac:dyDescent="0.2">
      <c r="A9" t="s">
        <v>4</v>
      </c>
    </row>
    <row r="10" spans="1:2" x14ac:dyDescent="0.2">
      <c r="A10" t="s">
        <v>5</v>
      </c>
    </row>
    <row r="11" spans="1:2" x14ac:dyDescent="0.2">
      <c r="A11" t="s">
        <v>6</v>
      </c>
    </row>
    <row r="12" spans="1:2" x14ac:dyDescent="0.2">
      <c r="A12" t="s">
        <v>7</v>
      </c>
    </row>
    <row r="13" spans="1:2" x14ac:dyDescent="0.2">
      <c r="A13" t="s">
        <v>8</v>
      </c>
    </row>
    <row r="14" spans="1:2" x14ac:dyDescent="0.2">
      <c r="A14" t="s">
        <v>9</v>
      </c>
    </row>
    <row r="15" spans="1:2" x14ac:dyDescent="0.2">
      <c r="A15" t="s">
        <v>10</v>
      </c>
    </row>
    <row r="16" spans="1:2" x14ac:dyDescent="0.2">
      <c r="A16" t="s">
        <v>11</v>
      </c>
    </row>
    <row r="17" spans="1:2" x14ac:dyDescent="0.2">
      <c r="A17" t="s">
        <v>12</v>
      </c>
    </row>
    <row r="18" spans="1:2" x14ac:dyDescent="0.2">
      <c r="A18" t="s">
        <v>13</v>
      </c>
    </row>
    <row r="19" spans="1:2" x14ac:dyDescent="0.2">
      <c r="A19" t="s">
        <v>14</v>
      </c>
    </row>
    <row r="20" spans="1:2" x14ac:dyDescent="0.2">
      <c r="A20" t="s">
        <v>15</v>
      </c>
    </row>
    <row r="21" spans="1:2" x14ac:dyDescent="0.2">
      <c r="A21" t="s">
        <v>16</v>
      </c>
    </row>
    <row r="22" spans="1:2" x14ac:dyDescent="0.2">
      <c r="A22" t="s">
        <v>17</v>
      </c>
    </row>
    <row r="23" spans="1:2" x14ac:dyDescent="0.2">
      <c r="A23" t="s">
        <v>18</v>
      </c>
    </row>
    <row r="24" spans="1:2" x14ac:dyDescent="0.2">
      <c r="A24" t="s">
        <v>210</v>
      </c>
    </row>
    <row r="25" spans="1:2" x14ac:dyDescent="0.2">
      <c r="A25" t="s">
        <v>19</v>
      </c>
      <c r="B25" t="s">
        <v>19</v>
      </c>
    </row>
    <row r="26" spans="1:2" x14ac:dyDescent="0.2">
      <c r="A26" t="s">
        <v>152</v>
      </c>
      <c r="B26" t="s">
        <v>152</v>
      </c>
    </row>
    <row r="27" spans="1:2" x14ac:dyDescent="0.2">
      <c r="A27" t="s">
        <v>154</v>
      </c>
      <c r="B27" t="s">
        <v>153</v>
      </c>
    </row>
    <row r="28" spans="1:2" x14ac:dyDescent="0.2">
      <c r="A28" t="s">
        <v>156</v>
      </c>
      <c r="B28" t="s">
        <v>155</v>
      </c>
    </row>
    <row r="29" spans="1:2" x14ac:dyDescent="0.2">
      <c r="A29" t="s">
        <v>158</v>
      </c>
      <c r="B29" t="s">
        <v>157</v>
      </c>
    </row>
    <row r="30" spans="1:2" x14ac:dyDescent="0.2">
      <c r="A30" t="s">
        <v>160</v>
      </c>
      <c r="B30" t="s">
        <v>159</v>
      </c>
    </row>
    <row r="31" spans="1:2" x14ac:dyDescent="0.2">
      <c r="A31" t="s">
        <v>162</v>
      </c>
      <c r="B31" t="s">
        <v>161</v>
      </c>
    </row>
    <row r="32" spans="1:2" x14ac:dyDescent="0.2">
      <c r="A32" t="s">
        <v>164</v>
      </c>
      <c r="B32" t="s">
        <v>163</v>
      </c>
    </row>
    <row r="33" spans="1:2" x14ac:dyDescent="0.2">
      <c r="A33" t="s">
        <v>165</v>
      </c>
    </row>
    <row r="34" spans="1:2" x14ac:dyDescent="0.2">
      <c r="A34" t="s">
        <v>166</v>
      </c>
    </row>
    <row r="35" spans="1:2" x14ac:dyDescent="0.2">
      <c r="A35" t="s">
        <v>168</v>
      </c>
      <c r="B35" t="s">
        <v>167</v>
      </c>
    </row>
    <row r="36" spans="1:2" x14ac:dyDescent="0.2">
      <c r="A36" t="s">
        <v>170</v>
      </c>
      <c r="B36" t="s">
        <v>169</v>
      </c>
    </row>
    <row r="37" spans="1:2" x14ac:dyDescent="0.2">
      <c r="A37" t="s">
        <v>171</v>
      </c>
    </row>
    <row r="38" spans="1:2" x14ac:dyDescent="0.2">
      <c r="A38" t="s">
        <v>173</v>
      </c>
      <c r="B38" t="s">
        <v>172</v>
      </c>
    </row>
    <row r="39" spans="1:2" x14ac:dyDescent="0.2">
      <c r="A39" t="s">
        <v>175</v>
      </c>
      <c r="B39" t="s">
        <v>174</v>
      </c>
    </row>
    <row r="40" spans="1:2" x14ac:dyDescent="0.2">
      <c r="A40" t="s">
        <v>211</v>
      </c>
      <c r="B40" t="s">
        <v>223</v>
      </c>
    </row>
    <row r="41" spans="1:2" x14ac:dyDescent="0.2">
      <c r="A41" t="s">
        <v>212</v>
      </c>
      <c r="B41" t="s">
        <v>224</v>
      </c>
    </row>
    <row r="42" spans="1:2" x14ac:dyDescent="0.2">
      <c r="A42" t="s">
        <v>213</v>
      </c>
    </row>
    <row r="43" spans="1:2" x14ac:dyDescent="0.2">
      <c r="A43" t="s">
        <v>214</v>
      </c>
    </row>
    <row r="44" spans="1:2" x14ac:dyDescent="0.2">
      <c r="A44" t="s">
        <v>215</v>
      </c>
    </row>
    <row r="45" spans="1:2" x14ac:dyDescent="0.2">
      <c r="A45" t="s">
        <v>176</v>
      </c>
    </row>
    <row r="46" spans="1:2" x14ac:dyDescent="0.2">
      <c r="A46" t="s">
        <v>178</v>
      </c>
      <c r="B46" t="s">
        <v>177</v>
      </c>
    </row>
    <row r="47" spans="1:2" x14ac:dyDescent="0.2">
      <c r="A47" t="s">
        <v>180</v>
      </c>
      <c r="B47" t="s">
        <v>179</v>
      </c>
    </row>
    <row r="48" spans="1:2" x14ac:dyDescent="0.2">
      <c r="A48" t="s">
        <v>182</v>
      </c>
      <c r="B48" t="s">
        <v>181</v>
      </c>
    </row>
    <row r="49" spans="1:2" x14ac:dyDescent="0.2">
      <c r="A49" t="s">
        <v>184</v>
      </c>
      <c r="B49" t="s">
        <v>183</v>
      </c>
    </row>
    <row r="50" spans="1:2" x14ac:dyDescent="0.2">
      <c r="A50" t="s">
        <v>186</v>
      </c>
      <c r="B50" t="s">
        <v>185</v>
      </c>
    </row>
    <row r="51" spans="1:2" x14ac:dyDescent="0.2">
      <c r="A51" t="s">
        <v>188</v>
      </c>
      <c r="B51" t="s">
        <v>187</v>
      </c>
    </row>
    <row r="52" spans="1:2" x14ac:dyDescent="0.2">
      <c r="A52" t="s">
        <v>190</v>
      </c>
      <c r="B52" t="s">
        <v>189</v>
      </c>
    </row>
    <row r="53" spans="1:2" x14ac:dyDescent="0.2">
      <c r="A53" t="s">
        <v>192</v>
      </c>
      <c r="B53" t="s">
        <v>191</v>
      </c>
    </row>
    <row r="54" spans="1:2" x14ac:dyDescent="0.2">
      <c r="A54" t="s">
        <v>216</v>
      </c>
      <c r="B54" t="s">
        <v>220</v>
      </c>
    </row>
    <row r="55" spans="1:2" x14ac:dyDescent="0.2">
      <c r="A55" t="s">
        <v>217</v>
      </c>
      <c r="B55" t="s">
        <v>221</v>
      </c>
    </row>
    <row r="56" spans="1:2" x14ac:dyDescent="0.2">
      <c r="A56" t="s">
        <v>193</v>
      </c>
    </row>
    <row r="57" spans="1:2" x14ac:dyDescent="0.2">
      <c r="A57" t="s">
        <v>194</v>
      </c>
    </row>
    <row r="58" spans="1:2" x14ac:dyDescent="0.2">
      <c r="A58" t="s">
        <v>195</v>
      </c>
    </row>
    <row r="59" spans="1:2" x14ac:dyDescent="0.2">
      <c r="A59" t="s">
        <v>196</v>
      </c>
    </row>
    <row r="60" spans="1:2" x14ac:dyDescent="0.2">
      <c r="A60" t="s">
        <v>197</v>
      </c>
    </row>
    <row r="61" spans="1:2" x14ac:dyDescent="0.2">
      <c r="A61" t="s">
        <v>198</v>
      </c>
    </row>
    <row r="62" spans="1:2" x14ac:dyDescent="0.2">
      <c r="A62" t="s">
        <v>199</v>
      </c>
    </row>
    <row r="63" spans="1:2" x14ac:dyDescent="0.2">
      <c r="A63" t="s">
        <v>200</v>
      </c>
    </row>
    <row r="64" spans="1:2" x14ac:dyDescent="0.2">
      <c r="A64" t="s">
        <v>201</v>
      </c>
    </row>
    <row r="65" spans="1:2" x14ac:dyDescent="0.2">
      <c r="A65" t="s">
        <v>202</v>
      </c>
    </row>
    <row r="66" spans="1:2" x14ac:dyDescent="0.2">
      <c r="A66" t="s">
        <v>203</v>
      </c>
    </row>
    <row r="67" spans="1:2" x14ac:dyDescent="0.2">
      <c r="A67" t="s">
        <v>204</v>
      </c>
    </row>
    <row r="68" spans="1:2" x14ac:dyDescent="0.2">
      <c r="A68" t="s">
        <v>205</v>
      </c>
    </row>
    <row r="69" spans="1:2" x14ac:dyDescent="0.2">
      <c r="A69" t="s">
        <v>206</v>
      </c>
    </row>
    <row r="70" spans="1:2" x14ac:dyDescent="0.2">
      <c r="A70" t="s">
        <v>207</v>
      </c>
    </row>
    <row r="71" spans="1:2" x14ac:dyDescent="0.2">
      <c r="A71" t="s">
        <v>208</v>
      </c>
      <c r="B71" t="s">
        <v>208</v>
      </c>
    </row>
    <row r="72" spans="1:2" x14ac:dyDescent="0.2">
      <c r="A72" t="s">
        <v>218</v>
      </c>
    </row>
    <row r="73" spans="1:2" x14ac:dyDescent="0.2">
      <c r="A73" t="s">
        <v>219</v>
      </c>
      <c r="B73" t="s">
        <v>222</v>
      </c>
    </row>
    <row r="74" spans="1:2" x14ac:dyDescent="0.2">
      <c r="A74" t="s">
        <v>395</v>
      </c>
    </row>
    <row r="75" spans="1:2" x14ac:dyDescent="0.2">
      <c r="A75" t="s">
        <v>396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9C399-2879-F546-A0BE-828EB8EDC1C7}">
  <dimension ref="A1:B39"/>
  <sheetViews>
    <sheetView topLeftCell="A15" workbookViewId="0">
      <selection activeCell="B38" sqref="B38"/>
    </sheetView>
  </sheetViews>
  <sheetFormatPr baseColWidth="10" defaultRowHeight="16" x14ac:dyDescent="0.2"/>
  <cols>
    <col min="1" max="1" width="62.33203125" bestFit="1" customWidth="1"/>
  </cols>
  <sheetData>
    <row r="1" spans="1:2" x14ac:dyDescent="0.2">
      <c r="A1" t="s">
        <v>157</v>
      </c>
      <c r="B1" t="s">
        <v>209</v>
      </c>
    </row>
    <row r="2" spans="1:2" x14ac:dyDescent="0.2">
      <c r="A2" t="s">
        <v>261</v>
      </c>
      <c r="B2" t="s">
        <v>225</v>
      </c>
    </row>
    <row r="3" spans="1:2" x14ac:dyDescent="0.2">
      <c r="A3" t="s">
        <v>262</v>
      </c>
      <c r="B3" t="s">
        <v>226</v>
      </c>
    </row>
    <row r="4" spans="1:2" x14ac:dyDescent="0.2">
      <c r="A4" t="s">
        <v>263</v>
      </c>
      <c r="B4" t="s">
        <v>227</v>
      </c>
    </row>
    <row r="5" spans="1:2" x14ac:dyDescent="0.2">
      <c r="A5" t="s">
        <v>264</v>
      </c>
      <c r="B5" t="s">
        <v>228</v>
      </c>
    </row>
    <row r="6" spans="1:2" x14ac:dyDescent="0.2">
      <c r="A6" t="s">
        <v>265</v>
      </c>
      <c r="B6" t="s">
        <v>229</v>
      </c>
    </row>
    <row r="7" spans="1:2" x14ac:dyDescent="0.2">
      <c r="A7" t="s">
        <v>266</v>
      </c>
      <c r="B7" t="s">
        <v>230</v>
      </c>
    </row>
    <row r="8" spans="1:2" x14ac:dyDescent="0.2">
      <c r="A8" t="s">
        <v>267</v>
      </c>
      <c r="B8" t="s">
        <v>231</v>
      </c>
    </row>
    <row r="9" spans="1:2" x14ac:dyDescent="0.2">
      <c r="A9" t="s">
        <v>268</v>
      </c>
      <c r="B9" t="s">
        <v>232</v>
      </c>
    </row>
    <row r="10" spans="1:2" x14ac:dyDescent="0.2">
      <c r="A10" t="s">
        <v>269</v>
      </c>
      <c r="B10" t="s">
        <v>233</v>
      </c>
    </row>
    <row r="11" spans="1:2" x14ac:dyDescent="0.2">
      <c r="A11" t="s">
        <v>270</v>
      </c>
      <c r="B11" t="s">
        <v>234</v>
      </c>
    </row>
    <row r="12" spans="1:2" x14ac:dyDescent="0.2">
      <c r="A12" t="s">
        <v>271</v>
      </c>
      <c r="B12" t="s">
        <v>235</v>
      </c>
    </row>
    <row r="13" spans="1:2" x14ac:dyDescent="0.2">
      <c r="A13" t="s">
        <v>272</v>
      </c>
      <c r="B13" t="s">
        <v>236</v>
      </c>
    </row>
    <row r="14" spans="1:2" x14ac:dyDescent="0.2">
      <c r="A14" t="s">
        <v>273</v>
      </c>
      <c r="B14" t="s">
        <v>237</v>
      </c>
    </row>
    <row r="15" spans="1:2" x14ac:dyDescent="0.2">
      <c r="A15" t="s">
        <v>274</v>
      </c>
      <c r="B15" t="s">
        <v>238</v>
      </c>
    </row>
    <row r="16" spans="1:2" x14ac:dyDescent="0.2">
      <c r="A16" t="s">
        <v>275</v>
      </c>
      <c r="B16" t="s">
        <v>239</v>
      </c>
    </row>
    <row r="17" spans="1:2" x14ac:dyDescent="0.2">
      <c r="A17" t="s">
        <v>276</v>
      </c>
      <c r="B17" t="s">
        <v>240</v>
      </c>
    </row>
    <row r="18" spans="1:2" x14ac:dyDescent="0.2">
      <c r="A18" t="s">
        <v>277</v>
      </c>
      <c r="B18" t="s">
        <v>241</v>
      </c>
    </row>
    <row r="19" spans="1:2" x14ac:dyDescent="0.2">
      <c r="A19" t="s">
        <v>278</v>
      </c>
      <c r="B19" t="s">
        <v>242</v>
      </c>
    </row>
    <row r="20" spans="1:2" x14ac:dyDescent="0.2">
      <c r="A20" t="s">
        <v>279</v>
      </c>
      <c r="B20" t="s">
        <v>243</v>
      </c>
    </row>
    <row r="21" spans="1:2" x14ac:dyDescent="0.2">
      <c r="A21" t="s">
        <v>244</v>
      </c>
      <c r="B21" t="s">
        <v>244</v>
      </c>
    </row>
    <row r="22" spans="1:2" x14ac:dyDescent="0.2">
      <c r="A22" t="s">
        <v>280</v>
      </c>
      <c r="B22" t="s">
        <v>245</v>
      </c>
    </row>
    <row r="23" spans="1:2" x14ac:dyDescent="0.2">
      <c r="A23" t="s">
        <v>281</v>
      </c>
      <c r="B23" t="s">
        <v>246</v>
      </c>
    </row>
    <row r="24" spans="1:2" x14ac:dyDescent="0.2">
      <c r="A24" t="s">
        <v>282</v>
      </c>
      <c r="B24" t="s">
        <v>247</v>
      </c>
    </row>
    <row r="25" spans="1:2" x14ac:dyDescent="0.2">
      <c r="A25" t="s">
        <v>283</v>
      </c>
      <c r="B25" t="s">
        <v>248</v>
      </c>
    </row>
    <row r="26" spans="1:2" x14ac:dyDescent="0.2">
      <c r="A26" t="s">
        <v>284</v>
      </c>
      <c r="B26" t="s">
        <v>249</v>
      </c>
    </row>
    <row r="27" spans="1:2" x14ac:dyDescent="0.2">
      <c r="A27" t="s">
        <v>285</v>
      </c>
      <c r="B27" t="s">
        <v>250</v>
      </c>
    </row>
    <row r="28" spans="1:2" x14ac:dyDescent="0.2">
      <c r="A28" t="s">
        <v>286</v>
      </c>
      <c r="B28" t="s">
        <v>251</v>
      </c>
    </row>
    <row r="29" spans="1:2" x14ac:dyDescent="0.2">
      <c r="A29" t="s">
        <v>287</v>
      </c>
      <c r="B29" t="s">
        <v>252</v>
      </c>
    </row>
    <row r="30" spans="1:2" x14ac:dyDescent="0.2">
      <c r="A30" t="s">
        <v>288</v>
      </c>
      <c r="B30" t="s">
        <v>253</v>
      </c>
    </row>
    <row r="31" spans="1:2" x14ac:dyDescent="0.2">
      <c r="A31" t="s">
        <v>289</v>
      </c>
      <c r="B31" t="s">
        <v>254</v>
      </c>
    </row>
    <row r="32" spans="1:2" x14ac:dyDescent="0.2">
      <c r="A32" t="s">
        <v>290</v>
      </c>
      <c r="B32" t="s">
        <v>255</v>
      </c>
    </row>
    <row r="33" spans="1:2" x14ac:dyDescent="0.2">
      <c r="A33" t="s">
        <v>291</v>
      </c>
      <c r="B33" t="s">
        <v>256</v>
      </c>
    </row>
    <row r="34" spans="1:2" x14ac:dyDescent="0.2">
      <c r="A34" t="s">
        <v>292</v>
      </c>
      <c r="B34" t="s">
        <v>257</v>
      </c>
    </row>
    <row r="35" spans="1:2" x14ac:dyDescent="0.2">
      <c r="A35" t="s">
        <v>293</v>
      </c>
      <c r="B35" t="s">
        <v>258</v>
      </c>
    </row>
    <row r="36" spans="1:2" x14ac:dyDescent="0.2">
      <c r="A36" t="s">
        <v>294</v>
      </c>
      <c r="B36" t="s">
        <v>259</v>
      </c>
    </row>
    <row r="37" spans="1:2" x14ac:dyDescent="0.2">
      <c r="A37" t="s">
        <v>295</v>
      </c>
      <c r="B37" t="s">
        <v>260</v>
      </c>
    </row>
    <row r="38" spans="1:2" x14ac:dyDescent="0.2">
      <c r="A38" t="s">
        <v>296</v>
      </c>
      <c r="B38" t="s">
        <v>298</v>
      </c>
    </row>
    <row r="39" spans="1:2" x14ac:dyDescent="0.2">
      <c r="A39" t="s">
        <v>297</v>
      </c>
      <c r="B39" t="s">
        <v>299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C24E-6C75-9B4A-AA22-C3274D2524A0}">
  <dimension ref="A1:J62"/>
  <sheetViews>
    <sheetView workbookViewId="0">
      <selection activeCell="H2" sqref="H2:H61"/>
    </sheetView>
  </sheetViews>
  <sheetFormatPr baseColWidth="10" defaultRowHeight="16" x14ac:dyDescent="0.2"/>
  <sheetData>
    <row r="1" spans="1:10" x14ac:dyDescent="0.2">
      <c r="A1" s="2" t="s">
        <v>300</v>
      </c>
      <c r="B1" t="s">
        <v>387</v>
      </c>
      <c r="C1" t="s">
        <v>388</v>
      </c>
      <c r="D1" t="s">
        <v>381</v>
      </c>
    </row>
    <row r="2" spans="1:10" x14ac:dyDescent="0.2">
      <c r="A2" s="2" t="s">
        <v>321</v>
      </c>
      <c r="B2" t="s">
        <v>389</v>
      </c>
      <c r="C2" t="s">
        <v>382</v>
      </c>
      <c r="D2" t="str">
        <f>RIGHT(A2,LEN(A2)-2)</f>
        <v>99</v>
      </c>
      <c r="F2" t="str">
        <f>"boros["""&amp;A2&amp;"""] = """&amp;B2&amp;""";"</f>
        <v>boros["SI99"] = "SI";</v>
      </c>
      <c r="H2" t="str">
        <f>"boroughs["""&amp;A2&amp;"""] = """&amp;C2&amp;""";"</f>
        <v>boroughs["SI99"] = "Staten Island";</v>
      </c>
      <c r="J2" t="str">
        <f>"boards["""&amp;A2&amp;"""] = """&amp;D2&amp;""";"</f>
        <v>boards["SI99"] = "99";</v>
      </c>
    </row>
    <row r="3" spans="1:10" x14ac:dyDescent="0.2">
      <c r="A3" s="2" t="s">
        <v>322</v>
      </c>
      <c r="B3" t="s">
        <v>390</v>
      </c>
      <c r="C3" t="s">
        <v>386</v>
      </c>
      <c r="D3" t="str">
        <f t="shared" ref="D3:D61" si="0">RIGHT(A3,LEN(A3)-2)</f>
        <v>1</v>
      </c>
      <c r="F3" t="str">
        <f t="shared" ref="F3:F61" si="1">"boros["""&amp;A3&amp;"""] = """&amp;B3&amp;""";"</f>
        <v>boros["BX1"] = "BX";</v>
      </c>
      <c r="H3" t="str">
        <f t="shared" ref="H3:H61" si="2">"boroughs["""&amp;A3&amp;"""] = """&amp;C3&amp;""";"</f>
        <v>boroughs["BX1"] = "Bronx";</v>
      </c>
      <c r="J3" t="str">
        <f t="shared" ref="J3:J61" si="3">"boards["""&amp;A3&amp;"""] = """&amp;D3&amp;""";"</f>
        <v>boards["BX1"] = "1";</v>
      </c>
    </row>
    <row r="4" spans="1:10" x14ac:dyDescent="0.2">
      <c r="A4" s="2" t="s">
        <v>323</v>
      </c>
      <c r="B4" t="s">
        <v>390</v>
      </c>
      <c r="C4" t="s">
        <v>386</v>
      </c>
      <c r="D4" t="str">
        <f t="shared" si="0"/>
        <v>2</v>
      </c>
      <c r="F4" t="str">
        <f t="shared" si="1"/>
        <v>boros["BX2"] = "BX";</v>
      </c>
      <c r="H4" t="str">
        <f t="shared" si="2"/>
        <v>boroughs["BX2"] = "Bronx";</v>
      </c>
      <c r="J4" t="str">
        <f t="shared" si="3"/>
        <v>boards["BX2"] = "2";</v>
      </c>
    </row>
    <row r="5" spans="1:10" x14ac:dyDescent="0.2">
      <c r="A5" s="2" t="s">
        <v>324</v>
      </c>
      <c r="B5" t="s">
        <v>390</v>
      </c>
      <c r="C5" t="s">
        <v>386</v>
      </c>
      <c r="D5" t="str">
        <f t="shared" si="0"/>
        <v>3</v>
      </c>
      <c r="F5" t="str">
        <f t="shared" si="1"/>
        <v>boros["BX3"] = "BX";</v>
      </c>
      <c r="H5" t="str">
        <f t="shared" si="2"/>
        <v>boroughs["BX3"] = "Bronx";</v>
      </c>
      <c r="J5" t="str">
        <f t="shared" si="3"/>
        <v>boards["BX3"] = "3";</v>
      </c>
    </row>
    <row r="6" spans="1:10" x14ac:dyDescent="0.2">
      <c r="A6" s="2" t="s">
        <v>325</v>
      </c>
      <c r="B6" t="s">
        <v>390</v>
      </c>
      <c r="C6" t="s">
        <v>386</v>
      </c>
      <c r="D6" t="str">
        <f t="shared" si="0"/>
        <v>4</v>
      </c>
      <c r="F6" t="str">
        <f t="shared" si="1"/>
        <v>boros["BX4"] = "BX";</v>
      </c>
      <c r="H6" t="str">
        <f t="shared" si="2"/>
        <v>boroughs["BX4"] = "Bronx";</v>
      </c>
      <c r="J6" t="str">
        <f t="shared" si="3"/>
        <v>boards["BX4"] = "4";</v>
      </c>
    </row>
    <row r="7" spans="1:10" x14ac:dyDescent="0.2">
      <c r="A7" s="2" t="s">
        <v>326</v>
      </c>
      <c r="B7" t="s">
        <v>390</v>
      </c>
      <c r="C7" t="s">
        <v>386</v>
      </c>
      <c r="D7" t="str">
        <f t="shared" si="0"/>
        <v>5</v>
      </c>
      <c r="F7" t="str">
        <f t="shared" si="1"/>
        <v>boros["BX5"] = "BX";</v>
      </c>
      <c r="H7" t="str">
        <f t="shared" si="2"/>
        <v>boroughs["BX5"] = "Bronx";</v>
      </c>
      <c r="J7" t="str">
        <f t="shared" si="3"/>
        <v>boards["BX5"] = "5";</v>
      </c>
    </row>
    <row r="8" spans="1:10" x14ac:dyDescent="0.2">
      <c r="A8" s="2" t="s">
        <v>327</v>
      </c>
      <c r="B8" t="s">
        <v>390</v>
      </c>
      <c r="C8" t="s">
        <v>386</v>
      </c>
      <c r="D8" t="str">
        <f t="shared" si="0"/>
        <v>6</v>
      </c>
      <c r="F8" t="str">
        <f t="shared" si="1"/>
        <v>boros["BX6"] = "BX";</v>
      </c>
      <c r="H8" t="str">
        <f t="shared" si="2"/>
        <v>boroughs["BX6"] = "Bronx";</v>
      </c>
      <c r="J8" t="str">
        <f t="shared" si="3"/>
        <v>boards["BX6"] = "6";</v>
      </c>
    </row>
    <row r="9" spans="1:10" x14ac:dyDescent="0.2">
      <c r="A9" s="2" t="s">
        <v>328</v>
      </c>
      <c r="B9" t="s">
        <v>390</v>
      </c>
      <c r="C9" t="s">
        <v>386</v>
      </c>
      <c r="D9" t="str">
        <f t="shared" si="0"/>
        <v>7</v>
      </c>
      <c r="F9" t="str">
        <f t="shared" si="1"/>
        <v>boros["BX7"] = "BX";</v>
      </c>
      <c r="H9" t="str">
        <f t="shared" si="2"/>
        <v>boroughs["BX7"] = "Bronx";</v>
      </c>
      <c r="J9" t="str">
        <f t="shared" si="3"/>
        <v>boards["BX7"] = "7";</v>
      </c>
    </row>
    <row r="10" spans="1:10" x14ac:dyDescent="0.2">
      <c r="A10" s="2" t="s">
        <v>329</v>
      </c>
      <c r="B10" t="s">
        <v>390</v>
      </c>
      <c r="C10" t="s">
        <v>386</v>
      </c>
      <c r="D10" t="str">
        <f t="shared" si="0"/>
        <v>8</v>
      </c>
      <c r="F10" t="str">
        <f t="shared" si="1"/>
        <v>boros["BX8"] = "BX";</v>
      </c>
      <c r="H10" t="str">
        <f t="shared" si="2"/>
        <v>boroughs["BX8"] = "Bronx";</v>
      </c>
      <c r="J10" t="str">
        <f t="shared" si="3"/>
        <v>boards["BX8"] = "8";</v>
      </c>
    </row>
    <row r="11" spans="1:10" x14ac:dyDescent="0.2">
      <c r="A11" s="2" t="s">
        <v>330</v>
      </c>
      <c r="B11" t="s">
        <v>390</v>
      </c>
      <c r="C11" t="s">
        <v>386</v>
      </c>
      <c r="D11" t="str">
        <f t="shared" si="0"/>
        <v>9</v>
      </c>
      <c r="F11" t="str">
        <f t="shared" si="1"/>
        <v>boros["BX9"] = "BX";</v>
      </c>
      <c r="H11" t="str">
        <f t="shared" si="2"/>
        <v>boroughs["BX9"] = "Bronx";</v>
      </c>
      <c r="J11" t="str">
        <f t="shared" si="3"/>
        <v>boards["BX9"] = "9";</v>
      </c>
    </row>
    <row r="12" spans="1:10" x14ac:dyDescent="0.2">
      <c r="A12" s="2" t="s">
        <v>331</v>
      </c>
      <c r="B12" t="s">
        <v>390</v>
      </c>
      <c r="C12" t="s">
        <v>386</v>
      </c>
      <c r="D12" t="str">
        <f t="shared" si="0"/>
        <v>10</v>
      </c>
      <c r="F12" t="str">
        <f t="shared" si="1"/>
        <v>boros["BX10"] = "BX";</v>
      </c>
      <c r="H12" t="str">
        <f t="shared" si="2"/>
        <v>boroughs["BX10"] = "Bronx";</v>
      </c>
      <c r="J12" t="str">
        <f t="shared" si="3"/>
        <v>boards["BX10"] = "10";</v>
      </c>
    </row>
    <row r="13" spans="1:10" x14ac:dyDescent="0.2">
      <c r="A13" s="2" t="s">
        <v>332</v>
      </c>
      <c r="B13" t="s">
        <v>390</v>
      </c>
      <c r="C13" t="s">
        <v>386</v>
      </c>
      <c r="D13" t="str">
        <f t="shared" si="0"/>
        <v>11</v>
      </c>
      <c r="F13" t="str">
        <f t="shared" si="1"/>
        <v>boros["BX11"] = "BX";</v>
      </c>
      <c r="H13" t="str">
        <f t="shared" si="2"/>
        <v>boroughs["BX11"] = "Bronx";</v>
      </c>
      <c r="J13" t="str">
        <f t="shared" si="3"/>
        <v>boards["BX11"] = "11";</v>
      </c>
    </row>
    <row r="14" spans="1:10" x14ac:dyDescent="0.2">
      <c r="A14" s="2" t="s">
        <v>333</v>
      </c>
      <c r="B14" t="s">
        <v>390</v>
      </c>
      <c r="C14" t="s">
        <v>386</v>
      </c>
      <c r="D14" t="str">
        <f t="shared" si="0"/>
        <v>12</v>
      </c>
      <c r="F14" t="str">
        <f t="shared" si="1"/>
        <v>boros["BX12"] = "BX";</v>
      </c>
      <c r="H14" t="str">
        <f t="shared" si="2"/>
        <v>boroughs["BX12"] = "Bronx";</v>
      </c>
      <c r="J14" t="str">
        <f t="shared" si="3"/>
        <v>boards["BX12"] = "12";</v>
      </c>
    </row>
    <row r="15" spans="1:10" x14ac:dyDescent="0.2">
      <c r="A15" s="2" t="s">
        <v>334</v>
      </c>
      <c r="B15" t="s">
        <v>391</v>
      </c>
      <c r="C15" t="s">
        <v>385</v>
      </c>
      <c r="D15" t="str">
        <f t="shared" si="0"/>
        <v>1</v>
      </c>
      <c r="F15" t="str">
        <f t="shared" si="1"/>
        <v>boros["BK1"] = "BK";</v>
      </c>
      <c r="H15" t="str">
        <f t="shared" si="2"/>
        <v>boroughs["BK1"] = "Brooklyn";</v>
      </c>
      <c r="J15" t="str">
        <f t="shared" si="3"/>
        <v>boards["BK1"] = "1";</v>
      </c>
    </row>
    <row r="16" spans="1:10" x14ac:dyDescent="0.2">
      <c r="A16" s="2" t="s">
        <v>335</v>
      </c>
      <c r="B16" t="s">
        <v>391</v>
      </c>
      <c r="C16" t="s">
        <v>385</v>
      </c>
      <c r="D16" t="str">
        <f t="shared" si="0"/>
        <v>2</v>
      </c>
      <c r="F16" t="str">
        <f t="shared" si="1"/>
        <v>boros["BK2"] = "BK";</v>
      </c>
      <c r="H16" t="str">
        <f t="shared" si="2"/>
        <v>boroughs["BK2"] = "Brooklyn";</v>
      </c>
      <c r="J16" t="str">
        <f t="shared" si="3"/>
        <v>boards["BK2"] = "2";</v>
      </c>
    </row>
    <row r="17" spans="1:10" x14ac:dyDescent="0.2">
      <c r="A17" s="2" t="s">
        <v>336</v>
      </c>
      <c r="B17" t="s">
        <v>391</v>
      </c>
      <c r="C17" t="s">
        <v>385</v>
      </c>
      <c r="D17" t="str">
        <f t="shared" si="0"/>
        <v>3</v>
      </c>
      <c r="F17" t="str">
        <f t="shared" si="1"/>
        <v>boros["BK3"] = "BK";</v>
      </c>
      <c r="H17" t="str">
        <f t="shared" si="2"/>
        <v>boroughs["BK3"] = "Brooklyn";</v>
      </c>
      <c r="J17" t="str">
        <f t="shared" si="3"/>
        <v>boards["BK3"] = "3";</v>
      </c>
    </row>
    <row r="18" spans="1:10" x14ac:dyDescent="0.2">
      <c r="A18" s="2" t="s">
        <v>337</v>
      </c>
      <c r="B18" t="s">
        <v>391</v>
      </c>
      <c r="C18" t="s">
        <v>385</v>
      </c>
      <c r="D18" t="str">
        <f t="shared" si="0"/>
        <v>4</v>
      </c>
      <c r="F18" t="str">
        <f t="shared" si="1"/>
        <v>boros["BK4"] = "BK";</v>
      </c>
      <c r="H18" t="str">
        <f t="shared" si="2"/>
        <v>boroughs["BK4"] = "Brooklyn";</v>
      </c>
      <c r="J18" t="str">
        <f t="shared" si="3"/>
        <v>boards["BK4"] = "4";</v>
      </c>
    </row>
    <row r="19" spans="1:10" x14ac:dyDescent="0.2">
      <c r="A19" s="2" t="s">
        <v>338</v>
      </c>
      <c r="B19" t="s">
        <v>391</v>
      </c>
      <c r="C19" t="s">
        <v>385</v>
      </c>
      <c r="D19" t="str">
        <f t="shared" si="0"/>
        <v>5</v>
      </c>
      <c r="F19" t="str">
        <f t="shared" si="1"/>
        <v>boros["BK5"] = "BK";</v>
      </c>
      <c r="H19" t="str">
        <f t="shared" si="2"/>
        <v>boroughs["BK5"] = "Brooklyn";</v>
      </c>
      <c r="J19" t="str">
        <f t="shared" si="3"/>
        <v>boards["BK5"] = "5";</v>
      </c>
    </row>
    <row r="20" spans="1:10" x14ac:dyDescent="0.2">
      <c r="A20" s="2" t="s">
        <v>339</v>
      </c>
      <c r="B20" t="s">
        <v>391</v>
      </c>
      <c r="C20" t="s">
        <v>385</v>
      </c>
      <c r="D20" t="str">
        <f t="shared" si="0"/>
        <v>6</v>
      </c>
      <c r="F20" t="str">
        <f t="shared" si="1"/>
        <v>boros["BK6"] = "BK";</v>
      </c>
      <c r="H20" t="str">
        <f t="shared" si="2"/>
        <v>boroughs["BK6"] = "Brooklyn";</v>
      </c>
      <c r="J20" t="str">
        <f t="shared" si="3"/>
        <v>boards["BK6"] = "6";</v>
      </c>
    </row>
    <row r="21" spans="1:10" x14ac:dyDescent="0.2">
      <c r="A21" s="2" t="s">
        <v>340</v>
      </c>
      <c r="B21" t="s">
        <v>391</v>
      </c>
      <c r="C21" t="s">
        <v>385</v>
      </c>
      <c r="D21" t="str">
        <f t="shared" si="0"/>
        <v>7</v>
      </c>
      <c r="F21" t="str">
        <f t="shared" si="1"/>
        <v>boros["BK7"] = "BK";</v>
      </c>
      <c r="H21" t="str">
        <f t="shared" si="2"/>
        <v>boroughs["BK7"] = "Brooklyn";</v>
      </c>
      <c r="J21" t="str">
        <f t="shared" si="3"/>
        <v>boards["BK7"] = "7";</v>
      </c>
    </row>
    <row r="22" spans="1:10" x14ac:dyDescent="0.2">
      <c r="A22" s="2" t="s">
        <v>341</v>
      </c>
      <c r="B22" t="s">
        <v>391</v>
      </c>
      <c r="C22" t="s">
        <v>385</v>
      </c>
      <c r="D22" t="str">
        <f t="shared" si="0"/>
        <v>8</v>
      </c>
      <c r="F22" t="str">
        <f t="shared" si="1"/>
        <v>boros["BK8"] = "BK";</v>
      </c>
      <c r="H22" t="str">
        <f t="shared" si="2"/>
        <v>boroughs["BK8"] = "Brooklyn";</v>
      </c>
      <c r="J22" t="str">
        <f t="shared" si="3"/>
        <v>boards["BK8"] = "8";</v>
      </c>
    </row>
    <row r="23" spans="1:10" x14ac:dyDescent="0.2">
      <c r="A23" s="2" t="s">
        <v>342</v>
      </c>
      <c r="B23" t="s">
        <v>391</v>
      </c>
      <c r="C23" t="s">
        <v>385</v>
      </c>
      <c r="D23" t="str">
        <f t="shared" si="0"/>
        <v>9</v>
      </c>
      <c r="F23" t="str">
        <f t="shared" si="1"/>
        <v>boros["BK9"] = "BK";</v>
      </c>
      <c r="H23" t="str">
        <f t="shared" si="2"/>
        <v>boroughs["BK9"] = "Brooklyn";</v>
      </c>
      <c r="J23" t="str">
        <f t="shared" si="3"/>
        <v>boards["BK9"] = "9";</v>
      </c>
    </row>
    <row r="24" spans="1:10" x14ac:dyDescent="0.2">
      <c r="A24" s="2" t="s">
        <v>343</v>
      </c>
      <c r="B24" t="s">
        <v>391</v>
      </c>
      <c r="C24" t="s">
        <v>385</v>
      </c>
      <c r="D24" t="str">
        <f t="shared" si="0"/>
        <v>10</v>
      </c>
      <c r="F24" t="str">
        <f t="shared" si="1"/>
        <v>boros["BK10"] = "BK";</v>
      </c>
      <c r="H24" t="str">
        <f t="shared" si="2"/>
        <v>boroughs["BK10"] = "Brooklyn";</v>
      </c>
      <c r="J24" t="str">
        <f t="shared" si="3"/>
        <v>boards["BK10"] = "10";</v>
      </c>
    </row>
    <row r="25" spans="1:10" x14ac:dyDescent="0.2">
      <c r="A25" s="2" t="s">
        <v>344</v>
      </c>
      <c r="B25" t="s">
        <v>391</v>
      </c>
      <c r="C25" t="s">
        <v>385</v>
      </c>
      <c r="D25" t="str">
        <f t="shared" si="0"/>
        <v>11</v>
      </c>
      <c r="F25" t="str">
        <f t="shared" si="1"/>
        <v>boros["BK11"] = "BK";</v>
      </c>
      <c r="H25" t="str">
        <f t="shared" si="2"/>
        <v>boroughs["BK11"] = "Brooklyn";</v>
      </c>
      <c r="J25" t="str">
        <f t="shared" si="3"/>
        <v>boards["BK11"] = "11";</v>
      </c>
    </row>
    <row r="26" spans="1:10" x14ac:dyDescent="0.2">
      <c r="A26" s="2" t="s">
        <v>345</v>
      </c>
      <c r="B26" t="s">
        <v>391</v>
      </c>
      <c r="C26" t="s">
        <v>385</v>
      </c>
      <c r="D26" t="str">
        <f t="shared" si="0"/>
        <v>12</v>
      </c>
      <c r="F26" t="str">
        <f t="shared" si="1"/>
        <v>boros["BK12"] = "BK";</v>
      </c>
      <c r="H26" t="str">
        <f t="shared" si="2"/>
        <v>boroughs["BK12"] = "Brooklyn";</v>
      </c>
      <c r="J26" t="str">
        <f t="shared" si="3"/>
        <v>boards["BK12"] = "12";</v>
      </c>
    </row>
    <row r="27" spans="1:10" x14ac:dyDescent="0.2">
      <c r="A27" s="2" t="s">
        <v>346</v>
      </c>
      <c r="B27" t="s">
        <v>391</v>
      </c>
      <c r="C27" t="s">
        <v>385</v>
      </c>
      <c r="D27" t="str">
        <f t="shared" si="0"/>
        <v>13</v>
      </c>
      <c r="F27" t="str">
        <f t="shared" si="1"/>
        <v>boros["BK13"] = "BK";</v>
      </c>
      <c r="H27" t="str">
        <f t="shared" si="2"/>
        <v>boroughs["BK13"] = "Brooklyn";</v>
      </c>
      <c r="J27" t="str">
        <f t="shared" si="3"/>
        <v>boards["BK13"] = "13";</v>
      </c>
    </row>
    <row r="28" spans="1:10" x14ac:dyDescent="0.2">
      <c r="A28" s="2" t="s">
        <v>347</v>
      </c>
      <c r="B28" t="s">
        <v>391</v>
      </c>
      <c r="C28" t="s">
        <v>385</v>
      </c>
      <c r="D28" t="str">
        <f t="shared" si="0"/>
        <v>14</v>
      </c>
      <c r="F28" t="str">
        <f t="shared" si="1"/>
        <v>boros["BK14"] = "BK";</v>
      </c>
      <c r="H28" t="str">
        <f t="shared" si="2"/>
        <v>boroughs["BK14"] = "Brooklyn";</v>
      </c>
      <c r="J28" t="str">
        <f t="shared" si="3"/>
        <v>boards["BK14"] = "14";</v>
      </c>
    </row>
    <row r="29" spans="1:10" x14ac:dyDescent="0.2">
      <c r="A29" s="2" t="s">
        <v>348</v>
      </c>
      <c r="B29" t="s">
        <v>391</v>
      </c>
      <c r="C29" t="s">
        <v>385</v>
      </c>
      <c r="D29" t="str">
        <f t="shared" si="0"/>
        <v>15</v>
      </c>
      <c r="F29" t="str">
        <f t="shared" si="1"/>
        <v>boros["BK15"] = "BK";</v>
      </c>
      <c r="H29" t="str">
        <f t="shared" si="2"/>
        <v>boroughs["BK15"] = "Brooklyn";</v>
      </c>
      <c r="J29" t="str">
        <f t="shared" si="3"/>
        <v>boards["BK15"] = "15";</v>
      </c>
    </row>
    <row r="30" spans="1:10" x14ac:dyDescent="0.2">
      <c r="A30" s="2" t="s">
        <v>349</v>
      </c>
      <c r="B30" t="s">
        <v>391</v>
      </c>
      <c r="C30" t="s">
        <v>385</v>
      </c>
      <c r="D30" t="str">
        <f t="shared" si="0"/>
        <v>16</v>
      </c>
      <c r="F30" t="str">
        <f t="shared" si="1"/>
        <v>boros["BK16"] = "BK";</v>
      </c>
      <c r="H30" t="str">
        <f t="shared" si="2"/>
        <v>boroughs["BK16"] = "Brooklyn";</v>
      </c>
      <c r="J30" t="str">
        <f t="shared" si="3"/>
        <v>boards["BK16"] = "16";</v>
      </c>
    </row>
    <row r="31" spans="1:10" x14ac:dyDescent="0.2">
      <c r="A31" s="2" t="s">
        <v>350</v>
      </c>
      <c r="B31" t="s">
        <v>391</v>
      </c>
      <c r="C31" t="s">
        <v>385</v>
      </c>
      <c r="D31" t="str">
        <f t="shared" si="0"/>
        <v>17</v>
      </c>
      <c r="F31" t="str">
        <f t="shared" si="1"/>
        <v>boros["BK17"] = "BK";</v>
      </c>
      <c r="H31" t="str">
        <f t="shared" si="2"/>
        <v>boroughs["BK17"] = "Brooklyn";</v>
      </c>
      <c r="J31" t="str">
        <f t="shared" si="3"/>
        <v>boards["BK17"] = "17";</v>
      </c>
    </row>
    <row r="32" spans="1:10" x14ac:dyDescent="0.2">
      <c r="A32" s="2" t="s">
        <v>351</v>
      </c>
      <c r="B32" t="s">
        <v>391</v>
      </c>
      <c r="C32" t="s">
        <v>385</v>
      </c>
      <c r="D32" t="str">
        <f t="shared" si="0"/>
        <v>18</v>
      </c>
      <c r="F32" t="str">
        <f t="shared" si="1"/>
        <v>boros["BK18"] = "BK";</v>
      </c>
      <c r="H32" t="str">
        <f t="shared" si="2"/>
        <v>boroughs["BK18"] = "Brooklyn";</v>
      </c>
      <c r="J32" t="str">
        <f t="shared" si="3"/>
        <v>boards["BK18"] = "18";</v>
      </c>
    </row>
    <row r="33" spans="1:10" x14ac:dyDescent="0.2">
      <c r="A33" s="2" t="s">
        <v>352</v>
      </c>
      <c r="B33" t="s">
        <v>392</v>
      </c>
      <c r="C33" t="s">
        <v>384</v>
      </c>
      <c r="D33" t="str">
        <f t="shared" si="0"/>
        <v>1</v>
      </c>
      <c r="F33" t="str">
        <f t="shared" si="1"/>
        <v>boros["MN1"] = "MN";</v>
      </c>
      <c r="H33" t="str">
        <f t="shared" si="2"/>
        <v>boroughs["MN1"] = "Manhattan";</v>
      </c>
      <c r="J33" t="str">
        <f t="shared" si="3"/>
        <v>boards["MN1"] = "1";</v>
      </c>
    </row>
    <row r="34" spans="1:10" x14ac:dyDescent="0.2">
      <c r="A34" s="2" t="s">
        <v>353</v>
      </c>
      <c r="B34" t="s">
        <v>392</v>
      </c>
      <c r="C34" t="s">
        <v>384</v>
      </c>
      <c r="D34" t="str">
        <f t="shared" si="0"/>
        <v>2</v>
      </c>
      <c r="F34" t="str">
        <f t="shared" si="1"/>
        <v>boros["MN2"] = "MN";</v>
      </c>
      <c r="H34" t="str">
        <f t="shared" si="2"/>
        <v>boroughs["MN2"] = "Manhattan";</v>
      </c>
      <c r="J34" t="str">
        <f t="shared" si="3"/>
        <v>boards["MN2"] = "2";</v>
      </c>
    </row>
    <row r="35" spans="1:10" x14ac:dyDescent="0.2">
      <c r="A35" s="2" t="s">
        <v>354</v>
      </c>
      <c r="B35" t="s">
        <v>392</v>
      </c>
      <c r="C35" t="s">
        <v>384</v>
      </c>
      <c r="D35" t="str">
        <f t="shared" si="0"/>
        <v>3</v>
      </c>
      <c r="F35" t="str">
        <f t="shared" si="1"/>
        <v>boros["MN3"] = "MN";</v>
      </c>
      <c r="H35" t="str">
        <f t="shared" si="2"/>
        <v>boroughs["MN3"] = "Manhattan";</v>
      </c>
      <c r="J35" t="str">
        <f t="shared" si="3"/>
        <v>boards["MN3"] = "3";</v>
      </c>
    </row>
    <row r="36" spans="1:10" x14ac:dyDescent="0.2">
      <c r="A36" s="2" t="s">
        <v>355</v>
      </c>
      <c r="B36" t="s">
        <v>392</v>
      </c>
      <c r="C36" t="s">
        <v>384</v>
      </c>
      <c r="D36" t="str">
        <f t="shared" si="0"/>
        <v>4</v>
      </c>
      <c r="F36" t="str">
        <f t="shared" si="1"/>
        <v>boros["MN4"] = "MN";</v>
      </c>
      <c r="H36" t="str">
        <f t="shared" si="2"/>
        <v>boroughs["MN4"] = "Manhattan";</v>
      </c>
      <c r="J36" t="str">
        <f t="shared" si="3"/>
        <v>boards["MN4"] = "4";</v>
      </c>
    </row>
    <row r="37" spans="1:10" x14ac:dyDescent="0.2">
      <c r="A37" s="2" t="s">
        <v>356</v>
      </c>
      <c r="B37" t="s">
        <v>392</v>
      </c>
      <c r="C37" t="s">
        <v>384</v>
      </c>
      <c r="D37" t="str">
        <f t="shared" si="0"/>
        <v>5</v>
      </c>
      <c r="F37" t="str">
        <f t="shared" si="1"/>
        <v>boros["MN5"] = "MN";</v>
      </c>
      <c r="H37" t="str">
        <f t="shared" si="2"/>
        <v>boroughs["MN5"] = "Manhattan";</v>
      </c>
      <c r="J37" t="str">
        <f t="shared" si="3"/>
        <v>boards["MN5"] = "5";</v>
      </c>
    </row>
    <row r="38" spans="1:10" x14ac:dyDescent="0.2">
      <c r="A38" s="2" t="s">
        <v>357</v>
      </c>
      <c r="B38" t="s">
        <v>392</v>
      </c>
      <c r="C38" t="s">
        <v>384</v>
      </c>
      <c r="D38" t="str">
        <f t="shared" si="0"/>
        <v>6</v>
      </c>
      <c r="F38" t="str">
        <f t="shared" si="1"/>
        <v>boros["MN6"] = "MN";</v>
      </c>
      <c r="H38" t="str">
        <f t="shared" si="2"/>
        <v>boroughs["MN6"] = "Manhattan";</v>
      </c>
      <c r="J38" t="str">
        <f t="shared" si="3"/>
        <v>boards["MN6"] = "6";</v>
      </c>
    </row>
    <row r="39" spans="1:10" x14ac:dyDescent="0.2">
      <c r="A39" s="2" t="s">
        <v>358</v>
      </c>
      <c r="B39" t="s">
        <v>392</v>
      </c>
      <c r="C39" t="s">
        <v>384</v>
      </c>
      <c r="D39" t="str">
        <f t="shared" si="0"/>
        <v>7</v>
      </c>
      <c r="F39" t="str">
        <f t="shared" si="1"/>
        <v>boros["MN7"] = "MN";</v>
      </c>
      <c r="H39" t="str">
        <f t="shared" si="2"/>
        <v>boroughs["MN7"] = "Manhattan";</v>
      </c>
      <c r="J39" t="str">
        <f t="shared" si="3"/>
        <v>boards["MN7"] = "7";</v>
      </c>
    </row>
    <row r="40" spans="1:10" x14ac:dyDescent="0.2">
      <c r="A40" s="2" t="s">
        <v>359</v>
      </c>
      <c r="B40" t="s">
        <v>392</v>
      </c>
      <c r="C40" t="s">
        <v>384</v>
      </c>
      <c r="D40" t="str">
        <f t="shared" si="0"/>
        <v>8</v>
      </c>
      <c r="F40" t="str">
        <f t="shared" si="1"/>
        <v>boros["MN8"] = "MN";</v>
      </c>
      <c r="H40" t="str">
        <f t="shared" si="2"/>
        <v>boroughs["MN8"] = "Manhattan";</v>
      </c>
      <c r="J40" t="str">
        <f t="shared" si="3"/>
        <v>boards["MN8"] = "8";</v>
      </c>
    </row>
    <row r="41" spans="1:10" x14ac:dyDescent="0.2">
      <c r="A41" s="2" t="s">
        <v>360</v>
      </c>
      <c r="B41" t="s">
        <v>392</v>
      </c>
      <c r="C41" t="s">
        <v>384</v>
      </c>
      <c r="D41" t="str">
        <f t="shared" si="0"/>
        <v>9</v>
      </c>
      <c r="F41" t="str">
        <f t="shared" si="1"/>
        <v>boros["MN9"] = "MN";</v>
      </c>
      <c r="H41" t="str">
        <f t="shared" si="2"/>
        <v>boroughs["MN9"] = "Manhattan";</v>
      </c>
      <c r="J41" t="str">
        <f t="shared" si="3"/>
        <v>boards["MN9"] = "9";</v>
      </c>
    </row>
    <row r="42" spans="1:10" x14ac:dyDescent="0.2">
      <c r="A42" s="2" t="s">
        <v>361</v>
      </c>
      <c r="B42" t="s">
        <v>392</v>
      </c>
      <c r="C42" t="s">
        <v>384</v>
      </c>
      <c r="D42" t="str">
        <f t="shared" si="0"/>
        <v>10</v>
      </c>
      <c r="F42" t="str">
        <f t="shared" si="1"/>
        <v>boros["MN10"] = "MN";</v>
      </c>
      <c r="H42" t="str">
        <f t="shared" si="2"/>
        <v>boroughs["MN10"] = "Manhattan";</v>
      </c>
      <c r="J42" t="str">
        <f t="shared" si="3"/>
        <v>boards["MN10"] = "10";</v>
      </c>
    </row>
    <row r="43" spans="1:10" x14ac:dyDescent="0.2">
      <c r="A43" s="2" t="s">
        <v>362</v>
      </c>
      <c r="B43" t="s">
        <v>392</v>
      </c>
      <c r="C43" t="s">
        <v>384</v>
      </c>
      <c r="D43" t="str">
        <f t="shared" si="0"/>
        <v>11</v>
      </c>
      <c r="F43" t="str">
        <f t="shared" si="1"/>
        <v>boros["MN11"] = "MN";</v>
      </c>
      <c r="H43" t="str">
        <f t="shared" si="2"/>
        <v>boroughs["MN11"] = "Manhattan";</v>
      </c>
      <c r="J43" t="str">
        <f t="shared" si="3"/>
        <v>boards["MN11"] = "11";</v>
      </c>
    </row>
    <row r="44" spans="1:10" x14ac:dyDescent="0.2">
      <c r="A44" s="2" t="s">
        <v>363</v>
      </c>
      <c r="B44" t="s">
        <v>392</v>
      </c>
      <c r="C44" t="s">
        <v>384</v>
      </c>
      <c r="D44" t="str">
        <f t="shared" si="0"/>
        <v>12</v>
      </c>
      <c r="F44" t="str">
        <f t="shared" si="1"/>
        <v>boros["MN12"] = "MN";</v>
      </c>
      <c r="H44" t="str">
        <f t="shared" si="2"/>
        <v>boroughs["MN12"] = "Manhattan";</v>
      </c>
      <c r="J44" t="str">
        <f t="shared" si="3"/>
        <v>boards["MN12"] = "12";</v>
      </c>
    </row>
    <row r="45" spans="1:10" x14ac:dyDescent="0.2">
      <c r="A45" s="2" t="s">
        <v>364</v>
      </c>
      <c r="B45" t="s">
        <v>393</v>
      </c>
      <c r="C45" t="s">
        <v>383</v>
      </c>
      <c r="D45" t="str">
        <f t="shared" si="0"/>
        <v>1</v>
      </c>
      <c r="F45" t="str">
        <f t="shared" si="1"/>
        <v>boros["QN1"] = "QN";</v>
      </c>
      <c r="H45" t="str">
        <f t="shared" si="2"/>
        <v>boroughs["QN1"] = "Queens";</v>
      </c>
      <c r="J45" t="str">
        <f t="shared" si="3"/>
        <v>boards["QN1"] = "1";</v>
      </c>
    </row>
    <row r="46" spans="1:10" x14ac:dyDescent="0.2">
      <c r="A46" s="2" t="s">
        <v>365</v>
      </c>
      <c r="B46" t="s">
        <v>393</v>
      </c>
      <c r="C46" t="s">
        <v>383</v>
      </c>
      <c r="D46" t="str">
        <f t="shared" si="0"/>
        <v>2</v>
      </c>
      <c r="F46" t="str">
        <f t="shared" si="1"/>
        <v>boros["QN2"] = "QN";</v>
      </c>
      <c r="H46" t="str">
        <f t="shared" si="2"/>
        <v>boroughs["QN2"] = "Queens";</v>
      </c>
      <c r="J46" t="str">
        <f t="shared" si="3"/>
        <v>boards["QN2"] = "2";</v>
      </c>
    </row>
    <row r="47" spans="1:10" x14ac:dyDescent="0.2">
      <c r="A47" s="2" t="s">
        <v>366</v>
      </c>
      <c r="B47" t="s">
        <v>393</v>
      </c>
      <c r="C47" t="s">
        <v>383</v>
      </c>
      <c r="D47" t="str">
        <f t="shared" si="0"/>
        <v>3</v>
      </c>
      <c r="F47" t="str">
        <f t="shared" si="1"/>
        <v>boros["QN3"] = "QN";</v>
      </c>
      <c r="H47" t="str">
        <f t="shared" si="2"/>
        <v>boroughs["QN3"] = "Queens";</v>
      </c>
      <c r="J47" t="str">
        <f t="shared" si="3"/>
        <v>boards["QN3"] = "3";</v>
      </c>
    </row>
    <row r="48" spans="1:10" x14ac:dyDescent="0.2">
      <c r="A48" s="2" t="s">
        <v>367</v>
      </c>
      <c r="B48" t="s">
        <v>393</v>
      </c>
      <c r="C48" t="s">
        <v>383</v>
      </c>
      <c r="D48" t="str">
        <f t="shared" si="0"/>
        <v>4</v>
      </c>
      <c r="F48" t="str">
        <f t="shared" si="1"/>
        <v>boros["QN4"] = "QN";</v>
      </c>
      <c r="H48" t="str">
        <f t="shared" si="2"/>
        <v>boroughs["QN4"] = "Queens";</v>
      </c>
      <c r="J48" t="str">
        <f t="shared" si="3"/>
        <v>boards["QN4"] = "4";</v>
      </c>
    </row>
    <row r="49" spans="1:10" x14ac:dyDescent="0.2">
      <c r="A49" s="2" t="s">
        <v>368</v>
      </c>
      <c r="B49" t="s">
        <v>393</v>
      </c>
      <c r="C49" t="s">
        <v>383</v>
      </c>
      <c r="D49" t="str">
        <f t="shared" si="0"/>
        <v>5</v>
      </c>
      <c r="F49" t="str">
        <f t="shared" si="1"/>
        <v>boros["QN5"] = "QN";</v>
      </c>
      <c r="H49" t="str">
        <f t="shared" si="2"/>
        <v>boroughs["QN5"] = "Queens";</v>
      </c>
      <c r="J49" t="str">
        <f t="shared" si="3"/>
        <v>boards["QN5"] = "5";</v>
      </c>
    </row>
    <row r="50" spans="1:10" x14ac:dyDescent="0.2">
      <c r="A50" s="2" t="s">
        <v>369</v>
      </c>
      <c r="B50" t="s">
        <v>393</v>
      </c>
      <c r="C50" t="s">
        <v>383</v>
      </c>
      <c r="D50" t="str">
        <f t="shared" si="0"/>
        <v>6</v>
      </c>
      <c r="F50" t="str">
        <f t="shared" si="1"/>
        <v>boros["QN6"] = "QN";</v>
      </c>
      <c r="H50" t="str">
        <f t="shared" si="2"/>
        <v>boroughs["QN6"] = "Queens";</v>
      </c>
      <c r="J50" t="str">
        <f t="shared" si="3"/>
        <v>boards["QN6"] = "6";</v>
      </c>
    </row>
    <row r="51" spans="1:10" x14ac:dyDescent="0.2">
      <c r="A51" s="2" t="s">
        <v>370</v>
      </c>
      <c r="B51" t="s">
        <v>393</v>
      </c>
      <c r="C51" t="s">
        <v>383</v>
      </c>
      <c r="D51" t="str">
        <f t="shared" si="0"/>
        <v>7</v>
      </c>
      <c r="F51" t="str">
        <f t="shared" si="1"/>
        <v>boros["QN7"] = "QN";</v>
      </c>
      <c r="H51" t="str">
        <f t="shared" si="2"/>
        <v>boroughs["QN7"] = "Queens";</v>
      </c>
      <c r="J51" t="str">
        <f t="shared" si="3"/>
        <v>boards["QN7"] = "7";</v>
      </c>
    </row>
    <row r="52" spans="1:10" x14ac:dyDescent="0.2">
      <c r="A52" s="2" t="s">
        <v>371</v>
      </c>
      <c r="B52" t="s">
        <v>393</v>
      </c>
      <c r="C52" t="s">
        <v>383</v>
      </c>
      <c r="D52" t="str">
        <f t="shared" si="0"/>
        <v>8</v>
      </c>
      <c r="F52" t="str">
        <f t="shared" si="1"/>
        <v>boros["QN8"] = "QN";</v>
      </c>
      <c r="H52" t="str">
        <f t="shared" si="2"/>
        <v>boroughs["QN8"] = "Queens";</v>
      </c>
      <c r="J52" t="str">
        <f t="shared" si="3"/>
        <v>boards["QN8"] = "8";</v>
      </c>
    </row>
    <row r="53" spans="1:10" x14ac:dyDescent="0.2">
      <c r="A53" s="2" t="s">
        <v>372</v>
      </c>
      <c r="B53" t="s">
        <v>393</v>
      </c>
      <c r="C53" t="s">
        <v>383</v>
      </c>
      <c r="D53" t="str">
        <f t="shared" si="0"/>
        <v>9</v>
      </c>
      <c r="F53" t="str">
        <f t="shared" si="1"/>
        <v>boros["QN9"] = "QN";</v>
      </c>
      <c r="H53" t="str">
        <f t="shared" si="2"/>
        <v>boroughs["QN9"] = "Queens";</v>
      </c>
      <c r="J53" t="str">
        <f t="shared" si="3"/>
        <v>boards["QN9"] = "9";</v>
      </c>
    </row>
    <row r="54" spans="1:10" x14ac:dyDescent="0.2">
      <c r="A54" s="2" t="s">
        <v>373</v>
      </c>
      <c r="B54" t="s">
        <v>393</v>
      </c>
      <c r="C54" t="s">
        <v>383</v>
      </c>
      <c r="D54" t="str">
        <f t="shared" si="0"/>
        <v>10</v>
      </c>
      <c r="F54" t="str">
        <f t="shared" si="1"/>
        <v>boros["QN10"] = "QN";</v>
      </c>
      <c r="H54" t="str">
        <f t="shared" si="2"/>
        <v>boroughs["QN10"] = "Queens";</v>
      </c>
      <c r="J54" t="str">
        <f t="shared" si="3"/>
        <v>boards["QN10"] = "10";</v>
      </c>
    </row>
    <row r="55" spans="1:10" x14ac:dyDescent="0.2">
      <c r="A55" s="2" t="s">
        <v>374</v>
      </c>
      <c r="B55" t="s">
        <v>393</v>
      </c>
      <c r="C55" t="s">
        <v>383</v>
      </c>
      <c r="D55" t="str">
        <f t="shared" si="0"/>
        <v>11</v>
      </c>
      <c r="F55" t="str">
        <f t="shared" si="1"/>
        <v>boros["QN11"] = "QN";</v>
      </c>
      <c r="H55" t="str">
        <f t="shared" si="2"/>
        <v>boroughs["QN11"] = "Queens";</v>
      </c>
      <c r="J55" t="str">
        <f t="shared" si="3"/>
        <v>boards["QN11"] = "11";</v>
      </c>
    </row>
    <row r="56" spans="1:10" x14ac:dyDescent="0.2">
      <c r="A56" s="2" t="s">
        <v>375</v>
      </c>
      <c r="B56" t="s">
        <v>393</v>
      </c>
      <c r="C56" t="s">
        <v>383</v>
      </c>
      <c r="D56" t="str">
        <f t="shared" si="0"/>
        <v>12</v>
      </c>
      <c r="F56" t="str">
        <f t="shared" si="1"/>
        <v>boros["QN12"] = "QN";</v>
      </c>
      <c r="H56" t="str">
        <f t="shared" si="2"/>
        <v>boroughs["QN12"] = "Queens";</v>
      </c>
      <c r="J56" t="str">
        <f t="shared" si="3"/>
        <v>boards["QN12"] = "12";</v>
      </c>
    </row>
    <row r="57" spans="1:10" x14ac:dyDescent="0.2">
      <c r="A57" s="2" t="s">
        <v>376</v>
      </c>
      <c r="B57" t="s">
        <v>393</v>
      </c>
      <c r="C57" t="s">
        <v>383</v>
      </c>
      <c r="D57" t="str">
        <f t="shared" si="0"/>
        <v>13</v>
      </c>
      <c r="F57" t="str">
        <f t="shared" si="1"/>
        <v>boros["QN13"] = "QN";</v>
      </c>
      <c r="H57" t="str">
        <f t="shared" si="2"/>
        <v>boroughs["QN13"] = "Queens";</v>
      </c>
      <c r="J57" t="str">
        <f t="shared" si="3"/>
        <v>boards["QN13"] = "13";</v>
      </c>
    </row>
    <row r="58" spans="1:10" x14ac:dyDescent="0.2">
      <c r="A58" s="2" t="s">
        <v>377</v>
      </c>
      <c r="B58" t="s">
        <v>393</v>
      </c>
      <c r="C58" t="s">
        <v>383</v>
      </c>
      <c r="D58" t="str">
        <f t="shared" si="0"/>
        <v>14</v>
      </c>
      <c r="F58" t="str">
        <f t="shared" si="1"/>
        <v>boros["QN14"] = "QN";</v>
      </c>
      <c r="H58" t="str">
        <f t="shared" si="2"/>
        <v>boroughs["QN14"] = "Queens";</v>
      </c>
      <c r="J58" t="str">
        <f t="shared" si="3"/>
        <v>boards["QN14"] = "14";</v>
      </c>
    </row>
    <row r="59" spans="1:10" x14ac:dyDescent="0.2">
      <c r="A59" s="2" t="s">
        <v>378</v>
      </c>
      <c r="B59" t="s">
        <v>389</v>
      </c>
      <c r="C59" t="s">
        <v>382</v>
      </c>
      <c r="D59" t="str">
        <f t="shared" si="0"/>
        <v>1</v>
      </c>
      <c r="F59" t="str">
        <f t="shared" si="1"/>
        <v>boros["SI1"] = "SI";</v>
      </c>
      <c r="H59" t="str">
        <f t="shared" si="2"/>
        <v>boroughs["SI1"] = "Staten Island";</v>
      </c>
      <c r="J59" t="str">
        <f t="shared" si="3"/>
        <v>boards["SI1"] = "1";</v>
      </c>
    </row>
    <row r="60" spans="1:10" x14ac:dyDescent="0.2">
      <c r="A60" s="2" t="s">
        <v>379</v>
      </c>
      <c r="B60" t="s">
        <v>389</v>
      </c>
      <c r="C60" t="s">
        <v>382</v>
      </c>
      <c r="D60" t="str">
        <f t="shared" si="0"/>
        <v>2</v>
      </c>
      <c r="F60" t="str">
        <f t="shared" si="1"/>
        <v>boros["SI2"] = "SI";</v>
      </c>
      <c r="H60" t="str">
        <f t="shared" si="2"/>
        <v>boroughs["SI2"] = "Staten Island";</v>
      </c>
      <c r="J60" t="str">
        <f t="shared" si="3"/>
        <v>boards["SI2"] = "2";</v>
      </c>
    </row>
    <row r="61" spans="1:10" x14ac:dyDescent="0.2">
      <c r="A61" s="2" t="s">
        <v>380</v>
      </c>
      <c r="B61" t="s">
        <v>389</v>
      </c>
      <c r="C61" t="s">
        <v>382</v>
      </c>
      <c r="D61" t="str">
        <f t="shared" si="0"/>
        <v>3</v>
      </c>
      <c r="F61" t="str">
        <f t="shared" si="1"/>
        <v>boros["SI3"] = "SI";</v>
      </c>
      <c r="H61" t="str">
        <f t="shared" si="2"/>
        <v>boroughs["SI3"] = "Staten Island";</v>
      </c>
      <c r="J61" t="str">
        <f t="shared" si="3"/>
        <v>boards["SI3"] = "3";</v>
      </c>
    </row>
    <row r="62" spans="1:10" x14ac:dyDescent="0.2">
      <c r="A62" s="2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Statements</vt:lpstr>
      <vt:lpstr>brs</vt:lpstr>
      <vt:lpstr>Agency Acronyms</vt:lpstr>
      <vt:lpstr>boro&amp;board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Hochbaum (DCP)</dc:creator>
  <cp:lastModifiedBy>David Hochbaum (DCP)</cp:lastModifiedBy>
  <dcterms:created xsi:type="dcterms:W3CDTF">2024-02-28T15:24:39Z</dcterms:created>
  <dcterms:modified xsi:type="dcterms:W3CDTF">2025-11-07T19:37:41Z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bba276f-0474-4e48-a2bc-69b0eb22318c_Enabled">
    <vt:lpwstr>true</vt:lpwstr>
  </property>
  <property fmtid="{D5CDD505-2E9C-101B-9397-08002B2CF9AE}" pid="3" name="MSIP_Label_ebba276f-0474-4e48-a2bc-69b0eb22318c_SetDate">
    <vt:lpwstr>2024-02-28T15:51:12Z</vt:lpwstr>
  </property>
  <property fmtid="{D5CDD505-2E9C-101B-9397-08002B2CF9AE}" pid="4" name="MSIP_Label_ebba276f-0474-4e48-a2bc-69b0eb22318c_Method">
    <vt:lpwstr>Standard</vt:lpwstr>
  </property>
  <property fmtid="{D5CDD505-2E9C-101B-9397-08002B2CF9AE}" pid="5" name="MSIP_Label_ebba276f-0474-4e48-a2bc-69b0eb22318c_Name">
    <vt:lpwstr>Non-Restricted-Main</vt:lpwstr>
  </property>
  <property fmtid="{D5CDD505-2E9C-101B-9397-08002B2CF9AE}" pid="6" name="MSIP_Label_ebba276f-0474-4e48-a2bc-69b0eb22318c_SiteId">
    <vt:lpwstr>32f56fc7-5f81-4e22-a95b-15da66513bef</vt:lpwstr>
  </property>
  <property fmtid="{D5CDD505-2E9C-101B-9397-08002B2CF9AE}" pid="7" name="MSIP_Label_ebba276f-0474-4e48-a2bc-69b0eb22318c_ActionId">
    <vt:lpwstr>514858a2-53ec-4d56-b9af-0cb1a5b71998</vt:lpwstr>
  </property>
  <property fmtid="{D5CDD505-2E9C-101B-9397-08002B2CF9AE}" pid="8" name="MSIP_Label_ebba276f-0474-4e48-a2bc-69b0eb22318c_ContentBits">
    <vt:lpwstr>0</vt:lpwstr>
  </property>
</Properties>
</file>